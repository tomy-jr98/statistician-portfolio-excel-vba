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UDIT TOMY\OneDrive\Desktop\Excel-Statistics Project\"/>
    </mc:Choice>
  </mc:AlternateContent>
  <xr:revisionPtr revIDLastSave="0" documentId="13_ncr:1_{0DC76F31-B5CD-4C62-B02D-35E00FB3E005}" xr6:coauthVersionLast="47" xr6:coauthVersionMax="47" xr10:uidLastSave="{00000000-0000-0000-0000-000000000000}"/>
  <bookViews>
    <workbookView xWindow="-120" yWindow="-120" windowWidth="20730" windowHeight="11040" xr2:uid="{C18DE886-DAD3-411E-B882-8260C2CD313E}"/>
  </bookViews>
  <sheets>
    <sheet name="SalesData" sheetId="2" r:id="rId1"/>
    <sheet name="Formulas" sheetId="4" r:id="rId2"/>
    <sheet name="Chi-Square test" sheetId="9" r:id="rId3"/>
    <sheet name="AB test" sheetId="7" r:id="rId4"/>
    <sheet name="VBA Output" sheetId="3" r:id="rId5"/>
    <sheet name="Forecasting" sheetId="11" r:id="rId6"/>
    <sheet name="Charts" sheetId="5" r:id="rId7"/>
  </sheets>
  <definedNames>
    <definedName name="_xlnm._FilterDatabase" localSheetId="0" hidden="1">SalesData!$K$2:$K$994</definedName>
    <definedName name="ExternalData_1" localSheetId="0" hidden="1">SalesData!$A$1:$I$994</definedName>
    <definedName name="_xlnm.Extract" localSheetId="0">SalesData!$M$3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7" l="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414" i="11"/>
  <c r="E415" i="11"/>
  <c r="E416" i="11"/>
  <c r="E417" i="11"/>
  <c r="E418" i="11"/>
  <c r="E419" i="11"/>
  <c r="E420" i="11"/>
  <c r="E421" i="11"/>
  <c r="E422" i="11"/>
  <c r="E423" i="11"/>
  <c r="E424" i="11"/>
  <c r="E425" i="11"/>
  <c r="E426" i="11"/>
  <c r="E427" i="11"/>
  <c r="E428" i="11"/>
  <c r="E429" i="11"/>
  <c r="E430" i="11"/>
  <c r="E431" i="11"/>
  <c r="E432" i="11"/>
  <c r="E433" i="11"/>
  <c r="E434" i="11"/>
  <c r="E435" i="11"/>
  <c r="E436" i="11"/>
  <c r="E437" i="11"/>
  <c r="E438" i="11"/>
  <c r="E439" i="11"/>
  <c r="E440" i="11"/>
  <c r="E441" i="11"/>
  <c r="E442" i="11"/>
  <c r="E443" i="11"/>
  <c r="E444" i="11"/>
  <c r="E445" i="11"/>
  <c r="E446" i="11"/>
  <c r="E447" i="11"/>
  <c r="E448" i="11"/>
  <c r="E449" i="11"/>
  <c r="E450" i="11"/>
  <c r="E451" i="11"/>
  <c r="E452" i="11"/>
  <c r="E453" i="11"/>
  <c r="E454" i="11"/>
  <c r="E455" i="11"/>
  <c r="E456" i="11"/>
  <c r="E457" i="11"/>
  <c r="E458" i="11"/>
  <c r="E459" i="11"/>
  <c r="E460" i="11"/>
  <c r="E461" i="11"/>
  <c r="E462" i="11"/>
  <c r="E463" i="11"/>
  <c r="E464" i="11"/>
  <c r="E465" i="11"/>
  <c r="E466" i="11"/>
  <c r="E467" i="11"/>
  <c r="E468" i="11"/>
  <c r="E469" i="11"/>
  <c r="E470" i="11"/>
  <c r="E471" i="11"/>
  <c r="E472" i="11"/>
  <c r="E473" i="11"/>
  <c r="E474" i="11"/>
  <c r="E475" i="11"/>
  <c r="E476" i="11"/>
  <c r="E477" i="11"/>
  <c r="E478" i="11"/>
  <c r="E479" i="11"/>
  <c r="E480" i="11"/>
  <c r="E481" i="11"/>
  <c r="E482" i="11"/>
  <c r="E483" i="11"/>
  <c r="E484" i="11"/>
  <c r="E485" i="11"/>
  <c r="E486" i="11"/>
  <c r="E487" i="11"/>
  <c r="E488" i="11"/>
  <c r="E489" i="11"/>
  <c r="E490" i="11"/>
  <c r="E491" i="11"/>
  <c r="E492" i="11"/>
  <c r="E493" i="11"/>
  <c r="E494" i="11"/>
  <c r="E495" i="11"/>
  <c r="E496" i="11"/>
  <c r="E497" i="11"/>
  <c r="E498" i="11"/>
  <c r="E499" i="11"/>
  <c r="E500" i="11"/>
  <c r="E501" i="11"/>
  <c r="E502" i="11"/>
  <c r="E503" i="11"/>
  <c r="E504" i="11"/>
  <c r="E505" i="11"/>
  <c r="E506" i="11"/>
  <c r="E507" i="11"/>
  <c r="E508" i="11"/>
  <c r="E509" i="11"/>
  <c r="E510" i="11"/>
  <c r="E511" i="11"/>
  <c r="E512" i="11"/>
  <c r="E513" i="11"/>
  <c r="E514" i="11"/>
  <c r="E515" i="11"/>
  <c r="E516" i="11"/>
  <c r="E517" i="11"/>
  <c r="E518" i="11"/>
  <c r="E519" i="11"/>
  <c r="E520" i="11"/>
  <c r="E521" i="11"/>
  <c r="E522" i="11"/>
  <c r="E523" i="11"/>
  <c r="E524" i="11"/>
  <c r="E525" i="11"/>
  <c r="E526" i="11"/>
  <c r="E527" i="11"/>
  <c r="E528" i="11"/>
  <c r="E529" i="11"/>
  <c r="E530" i="11"/>
  <c r="E531" i="11"/>
  <c r="E532" i="11"/>
  <c r="E533" i="11"/>
  <c r="E534" i="11"/>
  <c r="E535" i="11"/>
  <c r="E536" i="11"/>
  <c r="E537" i="11"/>
  <c r="E538" i="11"/>
  <c r="E539" i="11"/>
  <c r="E540" i="11"/>
  <c r="E541" i="11"/>
  <c r="E542" i="11"/>
  <c r="E543" i="11"/>
  <c r="E544" i="11"/>
  <c r="E545" i="11"/>
  <c r="E546" i="11"/>
  <c r="E547" i="11"/>
  <c r="E548" i="11"/>
  <c r="E549" i="11"/>
  <c r="E550" i="11"/>
  <c r="E551" i="11"/>
  <c r="E552" i="11"/>
  <c r="E553" i="11"/>
  <c r="E554" i="11"/>
  <c r="E555" i="11"/>
  <c r="E556" i="11"/>
  <c r="E557" i="11"/>
  <c r="E558" i="11"/>
  <c r="E559" i="11"/>
  <c r="E560" i="11"/>
  <c r="E561" i="11"/>
  <c r="E562" i="11"/>
  <c r="E563" i="11"/>
  <c r="E564" i="11"/>
  <c r="E565" i="11"/>
  <c r="E566" i="11"/>
  <c r="E567" i="11"/>
  <c r="E568" i="11"/>
  <c r="E569" i="11"/>
  <c r="E570" i="11"/>
  <c r="E571" i="11"/>
  <c r="E572" i="11"/>
  <c r="E573" i="11"/>
  <c r="E574" i="11"/>
  <c r="E575" i="11"/>
  <c r="E576" i="11"/>
  <c r="E577" i="11"/>
  <c r="E578" i="11"/>
  <c r="E579" i="11"/>
  <c r="E580" i="11"/>
  <c r="E581" i="11"/>
  <c r="E582" i="11"/>
  <c r="E583" i="11"/>
  <c r="E584" i="11"/>
  <c r="E585" i="11"/>
  <c r="E586" i="11"/>
  <c r="E587" i="11"/>
  <c r="E588" i="11"/>
  <c r="E589" i="11"/>
  <c r="E590" i="11"/>
  <c r="E591" i="11"/>
  <c r="E592" i="11"/>
  <c r="E593" i="11"/>
  <c r="E594" i="11"/>
  <c r="E595" i="11"/>
  <c r="E596" i="11"/>
  <c r="E597" i="11"/>
  <c r="E598" i="11"/>
  <c r="E599" i="11"/>
  <c r="E600" i="11"/>
  <c r="E601" i="11"/>
  <c r="E602" i="11"/>
  <c r="E603" i="11"/>
  <c r="E604" i="11"/>
  <c r="E605" i="11"/>
  <c r="E606" i="11"/>
  <c r="E607" i="11"/>
  <c r="E608" i="11"/>
  <c r="E609" i="11"/>
  <c r="E610" i="11"/>
  <c r="E611" i="11"/>
  <c r="E612" i="11"/>
  <c r="E613" i="11"/>
  <c r="E614" i="11"/>
  <c r="E615" i="11"/>
  <c r="E616" i="11"/>
  <c r="E617" i="11"/>
  <c r="E618" i="11"/>
  <c r="E619" i="11"/>
  <c r="E620" i="11"/>
  <c r="E621" i="11"/>
  <c r="E622" i="11"/>
  <c r="E623" i="11"/>
  <c r="E624" i="11"/>
  <c r="E625" i="11"/>
  <c r="E626" i="11"/>
  <c r="E627" i="11"/>
  <c r="E628" i="11"/>
  <c r="E629" i="11"/>
  <c r="E630" i="11"/>
  <c r="E631" i="11"/>
  <c r="E632" i="11"/>
  <c r="E633" i="11"/>
  <c r="E634" i="11"/>
  <c r="E635" i="11"/>
  <c r="E636" i="11"/>
  <c r="E637" i="11"/>
  <c r="E638" i="11"/>
  <c r="E639" i="11"/>
  <c r="E640" i="11"/>
  <c r="E641" i="11"/>
  <c r="E642" i="11"/>
  <c r="E643" i="11"/>
  <c r="E644" i="11"/>
  <c r="E645" i="11"/>
  <c r="E646" i="11"/>
  <c r="E647" i="11"/>
  <c r="E648" i="11"/>
  <c r="E649" i="11"/>
  <c r="E650" i="11"/>
  <c r="E651" i="11"/>
  <c r="E652" i="11"/>
  <c r="E653" i="11"/>
  <c r="E654" i="11"/>
  <c r="E655" i="11"/>
  <c r="E656" i="11"/>
  <c r="E657" i="11"/>
  <c r="E658" i="11"/>
  <c r="E659" i="11"/>
  <c r="E660" i="11"/>
  <c r="E661" i="11"/>
  <c r="E662" i="11"/>
  <c r="E663" i="11"/>
  <c r="E664" i="11"/>
  <c r="E665" i="11"/>
  <c r="E666" i="11"/>
  <c r="E667" i="11"/>
  <c r="E668" i="11"/>
  <c r="E669" i="11"/>
  <c r="E670" i="11"/>
  <c r="E671" i="11"/>
  <c r="E672" i="11"/>
  <c r="E673" i="11"/>
  <c r="E674" i="11"/>
  <c r="E675" i="11"/>
  <c r="E676" i="11"/>
  <c r="E677" i="11"/>
  <c r="E678" i="11"/>
  <c r="E679" i="11"/>
  <c r="E680" i="11"/>
  <c r="E681" i="11"/>
  <c r="E682" i="11"/>
  <c r="E683" i="11"/>
  <c r="E684" i="11"/>
  <c r="E685" i="11"/>
  <c r="E686" i="11"/>
  <c r="E687" i="11"/>
  <c r="E688" i="11"/>
  <c r="E689" i="11"/>
  <c r="E690" i="11"/>
  <c r="E691" i="11"/>
  <c r="E692" i="11"/>
  <c r="E693" i="11"/>
  <c r="E694" i="11"/>
  <c r="E695" i="11"/>
  <c r="E696" i="11"/>
  <c r="E697" i="11"/>
  <c r="E698" i="11"/>
  <c r="E699" i="11"/>
  <c r="E700" i="11"/>
  <c r="E701" i="11"/>
  <c r="E702" i="11"/>
  <c r="E703" i="11"/>
  <c r="E704" i="11"/>
  <c r="E705" i="11"/>
  <c r="E706" i="11"/>
  <c r="E707" i="11"/>
  <c r="E708" i="11"/>
  <c r="E709" i="11"/>
  <c r="E710" i="11"/>
  <c r="E711" i="11"/>
  <c r="E712" i="11"/>
  <c r="E713" i="11"/>
  <c r="E714" i="11"/>
  <c r="E715" i="11"/>
  <c r="E716" i="11"/>
  <c r="E717" i="11"/>
  <c r="E718" i="11"/>
  <c r="E719" i="11"/>
  <c r="E720" i="11"/>
  <c r="E721" i="11"/>
  <c r="E722" i="11"/>
  <c r="E723" i="11"/>
  <c r="E724" i="11"/>
  <c r="E725" i="11"/>
  <c r="E726" i="11"/>
  <c r="E727" i="11"/>
  <c r="E728" i="11"/>
  <c r="E729" i="11"/>
  <c r="E730" i="11"/>
  <c r="E731" i="11"/>
  <c r="E732" i="11"/>
  <c r="E733" i="11"/>
  <c r="E734" i="11"/>
  <c r="E735" i="11"/>
  <c r="E736" i="11"/>
  <c r="E737" i="11"/>
  <c r="E738" i="11"/>
  <c r="E739" i="11"/>
  <c r="E740" i="11"/>
  <c r="E741" i="11"/>
  <c r="E742" i="11"/>
  <c r="E743" i="11"/>
  <c r="E744" i="11"/>
  <c r="E745" i="11"/>
  <c r="E746" i="11"/>
  <c r="E747" i="11"/>
  <c r="E748" i="11"/>
  <c r="E749" i="11"/>
  <c r="E750" i="11"/>
  <c r="E751" i="11"/>
  <c r="E752" i="11"/>
  <c r="E753" i="11"/>
  <c r="E754" i="11"/>
  <c r="E755" i="11"/>
  <c r="E756" i="11"/>
  <c r="E757" i="11"/>
  <c r="E758" i="11"/>
  <c r="E759" i="11"/>
  <c r="E760" i="11"/>
  <c r="E761" i="11"/>
  <c r="E762" i="11"/>
  <c r="E763" i="11"/>
  <c r="E764" i="11"/>
  <c r="E765" i="11"/>
  <c r="E766" i="11"/>
  <c r="E767" i="11"/>
  <c r="E768" i="11"/>
  <c r="E769" i="11"/>
  <c r="E770" i="11"/>
  <c r="E771" i="11"/>
  <c r="E772" i="11"/>
  <c r="E773" i="11"/>
  <c r="E774" i="11"/>
  <c r="E775" i="11"/>
  <c r="E776" i="11"/>
  <c r="E777" i="11"/>
  <c r="E778" i="11"/>
  <c r="E779" i="11"/>
  <c r="E780" i="11"/>
  <c r="E781" i="11"/>
  <c r="E782" i="11"/>
  <c r="E783" i="11"/>
  <c r="E784" i="11"/>
  <c r="E785" i="11"/>
  <c r="E786" i="11"/>
  <c r="E787" i="11"/>
  <c r="E788" i="11"/>
  <c r="E789" i="11"/>
  <c r="E790" i="11"/>
  <c r="E791" i="11"/>
  <c r="E792" i="11"/>
  <c r="E793" i="11"/>
  <c r="E794" i="11"/>
  <c r="E795" i="11"/>
  <c r="E796" i="11"/>
  <c r="E797" i="11"/>
  <c r="E798" i="11"/>
  <c r="E799" i="11"/>
  <c r="E800" i="11"/>
  <c r="E801" i="11"/>
  <c r="E802" i="11"/>
  <c r="E803" i="11"/>
  <c r="E804" i="11"/>
  <c r="E805" i="11"/>
  <c r="E806" i="11"/>
  <c r="E807" i="11"/>
  <c r="E808" i="11"/>
  <c r="E809" i="11"/>
  <c r="E810" i="11"/>
  <c r="E811" i="11"/>
  <c r="E812" i="11"/>
  <c r="E813" i="11"/>
  <c r="E814" i="11"/>
  <c r="E815" i="11"/>
  <c r="E816" i="11"/>
  <c r="E817" i="11"/>
  <c r="E818" i="11"/>
  <c r="E819" i="11"/>
  <c r="E820" i="11"/>
  <c r="E821" i="11"/>
  <c r="E822" i="11"/>
  <c r="E823" i="11"/>
  <c r="E824" i="11"/>
  <c r="E825" i="11"/>
  <c r="E826" i="11"/>
  <c r="E827" i="11"/>
  <c r="E828" i="11"/>
  <c r="E829" i="11"/>
  <c r="E830" i="11"/>
  <c r="E831" i="11"/>
  <c r="E832" i="11"/>
  <c r="E833" i="11"/>
  <c r="E834" i="11"/>
  <c r="E835" i="11"/>
  <c r="E836" i="11"/>
  <c r="E837" i="11"/>
  <c r="E838" i="11"/>
  <c r="E839" i="11"/>
  <c r="E840" i="11"/>
  <c r="E841" i="11"/>
  <c r="E842" i="11"/>
  <c r="E843" i="11"/>
  <c r="E844" i="11"/>
  <c r="E845" i="11"/>
  <c r="E846" i="11"/>
  <c r="E847" i="11"/>
  <c r="E848" i="11"/>
  <c r="E849" i="11"/>
  <c r="E850" i="11"/>
  <c r="E851" i="11"/>
  <c r="E852" i="11"/>
  <c r="E853" i="11"/>
  <c r="E854" i="11"/>
  <c r="E855" i="11"/>
  <c r="E856" i="11"/>
  <c r="E857" i="11"/>
  <c r="E858" i="11"/>
  <c r="E859" i="11"/>
  <c r="E860" i="11"/>
  <c r="E861" i="11"/>
  <c r="E862" i="11"/>
  <c r="E863" i="11"/>
  <c r="E864" i="11"/>
  <c r="E865" i="11"/>
  <c r="E866" i="11"/>
  <c r="E867" i="11"/>
  <c r="E868" i="11"/>
  <c r="E869" i="11"/>
  <c r="E870" i="11"/>
  <c r="E871" i="11"/>
  <c r="E872" i="11"/>
  <c r="E873" i="11"/>
  <c r="E874" i="11"/>
  <c r="E875" i="11"/>
  <c r="E876" i="11"/>
  <c r="E877" i="11"/>
  <c r="E878" i="11"/>
  <c r="E879" i="11"/>
  <c r="E880" i="11"/>
  <c r="E881" i="11"/>
  <c r="E882" i="11"/>
  <c r="E883" i="11"/>
  <c r="E884" i="11"/>
  <c r="E885" i="11"/>
  <c r="E886" i="11"/>
  <c r="E887" i="11"/>
  <c r="E888" i="11"/>
  <c r="E889" i="11"/>
  <c r="E890" i="11"/>
  <c r="E891" i="11"/>
  <c r="E892" i="11"/>
  <c r="E893" i="11"/>
  <c r="E894" i="11"/>
  <c r="E895" i="11"/>
  <c r="E896" i="11"/>
  <c r="E897" i="11"/>
  <c r="E898" i="11"/>
  <c r="E899" i="11"/>
  <c r="E900" i="11"/>
  <c r="E901" i="11"/>
  <c r="E902" i="11"/>
  <c r="E903" i="11"/>
  <c r="E904" i="11"/>
  <c r="E905" i="11"/>
  <c r="E906" i="11"/>
  <c r="E907" i="11"/>
  <c r="E908" i="11"/>
  <c r="E909" i="11"/>
  <c r="E910" i="11"/>
  <c r="E911" i="11"/>
  <c r="E912" i="11"/>
  <c r="E913" i="11"/>
  <c r="E914" i="11"/>
  <c r="E915" i="11"/>
  <c r="E916" i="11"/>
  <c r="E917" i="11"/>
  <c r="E918" i="11"/>
  <c r="E919" i="11"/>
  <c r="E920" i="11"/>
  <c r="E921" i="11"/>
  <c r="E922" i="11"/>
  <c r="E923" i="11"/>
  <c r="E924" i="11"/>
  <c r="E925" i="11"/>
  <c r="E926" i="11"/>
  <c r="E927" i="11"/>
  <c r="E928" i="11"/>
  <c r="E929" i="11"/>
  <c r="E930" i="11"/>
  <c r="E931" i="11"/>
  <c r="E932" i="11"/>
  <c r="E933" i="11"/>
  <c r="E934" i="11"/>
  <c r="E935" i="11"/>
  <c r="E936" i="11"/>
  <c r="E937" i="11"/>
  <c r="E938" i="11"/>
  <c r="E939" i="11"/>
  <c r="E940" i="11"/>
  <c r="E941" i="11"/>
  <c r="E942" i="11"/>
  <c r="E943" i="11"/>
  <c r="E944" i="11"/>
  <c r="E945" i="11"/>
  <c r="E946" i="11"/>
  <c r="E947" i="11"/>
  <c r="E948" i="11"/>
  <c r="E949" i="11"/>
  <c r="E950" i="11"/>
  <c r="E951" i="11"/>
  <c r="E952" i="11"/>
  <c r="E953" i="11"/>
  <c r="E954" i="11"/>
  <c r="E955" i="11"/>
  <c r="E956" i="11"/>
  <c r="E957" i="11"/>
  <c r="E958" i="11"/>
  <c r="E959" i="11"/>
  <c r="E960" i="11"/>
  <c r="E961" i="11"/>
  <c r="E962" i="11"/>
  <c r="E963" i="11"/>
  <c r="E964" i="11"/>
  <c r="E965" i="11"/>
  <c r="E966" i="11"/>
  <c r="E967" i="11"/>
  <c r="E968" i="11"/>
  <c r="E969" i="11"/>
  <c r="E970" i="11"/>
  <c r="E971" i="11"/>
  <c r="E972" i="11"/>
  <c r="E973" i="11"/>
  <c r="E974" i="11"/>
  <c r="E975" i="11"/>
  <c r="E976" i="11"/>
  <c r="E977" i="11"/>
  <c r="E978" i="11"/>
  <c r="E979" i="11"/>
  <c r="E980" i="11"/>
  <c r="E981" i="11"/>
  <c r="E982" i="11"/>
  <c r="E983" i="11"/>
  <c r="E984" i="11"/>
  <c r="E985" i="11"/>
  <c r="E986" i="11"/>
  <c r="E987" i="11"/>
  <c r="E988" i="11"/>
  <c r="E989" i="11"/>
  <c r="E990" i="11"/>
  <c r="E991" i="11"/>
  <c r="E992" i="11"/>
  <c r="E993" i="11"/>
  <c r="E994" i="11"/>
  <c r="E2" i="1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4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D729" i="11"/>
  <c r="D730" i="11"/>
  <c r="D731" i="11"/>
  <c r="D732" i="11"/>
  <c r="D733" i="11"/>
  <c r="D734" i="11"/>
  <c r="D735" i="11"/>
  <c r="D736" i="11"/>
  <c r="D737" i="11"/>
  <c r="D738" i="11"/>
  <c r="D739" i="11"/>
  <c r="D740" i="11"/>
  <c r="D741" i="11"/>
  <c r="D742" i="11"/>
  <c r="D743" i="11"/>
  <c r="D744" i="11"/>
  <c r="D745" i="11"/>
  <c r="D746" i="11"/>
  <c r="D747" i="11"/>
  <c r="D748" i="11"/>
  <c r="D749" i="11"/>
  <c r="D750" i="11"/>
  <c r="D751" i="11"/>
  <c r="D752" i="11"/>
  <c r="D753" i="11"/>
  <c r="D754" i="11"/>
  <c r="D755" i="11"/>
  <c r="D756" i="11"/>
  <c r="D757" i="11"/>
  <c r="D758" i="11"/>
  <c r="D759" i="11"/>
  <c r="D760" i="11"/>
  <c r="D761" i="11"/>
  <c r="D762" i="11"/>
  <c r="D763" i="11"/>
  <c r="D764" i="11"/>
  <c r="D765" i="11"/>
  <c r="D766" i="11"/>
  <c r="D767" i="11"/>
  <c r="D768" i="11"/>
  <c r="D769" i="11"/>
  <c r="D770" i="11"/>
  <c r="D771" i="11"/>
  <c r="D772" i="11"/>
  <c r="D773" i="11"/>
  <c r="D774" i="11"/>
  <c r="D775" i="11"/>
  <c r="D776" i="11"/>
  <c r="D777" i="11"/>
  <c r="D778" i="11"/>
  <c r="D779" i="11"/>
  <c r="D780" i="11"/>
  <c r="D781" i="11"/>
  <c r="D782" i="11"/>
  <c r="D783" i="11"/>
  <c r="D784" i="11"/>
  <c r="D785" i="11"/>
  <c r="D786" i="11"/>
  <c r="D787" i="11"/>
  <c r="D788" i="11"/>
  <c r="D789" i="11"/>
  <c r="D790" i="11"/>
  <c r="D791" i="11"/>
  <c r="D792" i="11"/>
  <c r="D793" i="11"/>
  <c r="D794" i="11"/>
  <c r="D795" i="11"/>
  <c r="D796" i="11"/>
  <c r="D797" i="11"/>
  <c r="D798" i="11"/>
  <c r="D799" i="11"/>
  <c r="D800" i="11"/>
  <c r="D801" i="11"/>
  <c r="D802" i="11"/>
  <c r="D803" i="11"/>
  <c r="D804" i="11"/>
  <c r="D805" i="11"/>
  <c r="D806" i="11"/>
  <c r="D807" i="11"/>
  <c r="D808" i="11"/>
  <c r="D809" i="11"/>
  <c r="D810" i="11"/>
  <c r="D811" i="11"/>
  <c r="D812" i="11"/>
  <c r="D813" i="11"/>
  <c r="D814" i="11"/>
  <c r="D815" i="11"/>
  <c r="D816" i="11"/>
  <c r="D817" i="11"/>
  <c r="D818" i="11"/>
  <c r="D819" i="11"/>
  <c r="D820" i="11"/>
  <c r="D821" i="11"/>
  <c r="D822" i="11"/>
  <c r="D823" i="11"/>
  <c r="D824" i="11"/>
  <c r="D825" i="11"/>
  <c r="D826" i="11"/>
  <c r="D827" i="11"/>
  <c r="D828" i="11"/>
  <c r="D829" i="11"/>
  <c r="D830" i="11"/>
  <c r="D831" i="11"/>
  <c r="D832" i="11"/>
  <c r="D833" i="11"/>
  <c r="D834" i="11"/>
  <c r="D835" i="11"/>
  <c r="D836" i="11"/>
  <c r="D837" i="11"/>
  <c r="D838" i="11"/>
  <c r="D839" i="11"/>
  <c r="D840" i="11"/>
  <c r="D841" i="11"/>
  <c r="D842" i="11"/>
  <c r="D843" i="11"/>
  <c r="D844" i="11"/>
  <c r="D845" i="11"/>
  <c r="D846" i="11"/>
  <c r="D847" i="11"/>
  <c r="D848" i="11"/>
  <c r="D849" i="11"/>
  <c r="D850" i="11"/>
  <c r="D851" i="11"/>
  <c r="D852" i="11"/>
  <c r="D853" i="11"/>
  <c r="D854" i="11"/>
  <c r="D855" i="11"/>
  <c r="D856" i="11"/>
  <c r="D857" i="11"/>
  <c r="D858" i="11"/>
  <c r="D859" i="11"/>
  <c r="D860" i="11"/>
  <c r="D861" i="11"/>
  <c r="D862" i="11"/>
  <c r="D863" i="11"/>
  <c r="D864" i="11"/>
  <c r="D865" i="11"/>
  <c r="D866" i="11"/>
  <c r="D867" i="11"/>
  <c r="D868" i="11"/>
  <c r="D869" i="11"/>
  <c r="D870" i="11"/>
  <c r="D871" i="11"/>
  <c r="D872" i="11"/>
  <c r="D873" i="11"/>
  <c r="D874" i="11"/>
  <c r="D875" i="11"/>
  <c r="D876" i="11"/>
  <c r="D877" i="11"/>
  <c r="D878" i="11"/>
  <c r="D879" i="11"/>
  <c r="D880" i="11"/>
  <c r="D881" i="11"/>
  <c r="D882" i="11"/>
  <c r="D883" i="11"/>
  <c r="D884" i="11"/>
  <c r="D885" i="11"/>
  <c r="D886" i="11"/>
  <c r="D887" i="11"/>
  <c r="D888" i="11"/>
  <c r="D889" i="11"/>
  <c r="D890" i="11"/>
  <c r="D891" i="11"/>
  <c r="D892" i="11"/>
  <c r="D893" i="11"/>
  <c r="D894" i="11"/>
  <c r="D895" i="11"/>
  <c r="D896" i="11"/>
  <c r="D897" i="11"/>
  <c r="D898" i="11"/>
  <c r="D899" i="11"/>
  <c r="D900" i="11"/>
  <c r="D901" i="11"/>
  <c r="D902" i="11"/>
  <c r="D903" i="11"/>
  <c r="D904" i="11"/>
  <c r="D905" i="11"/>
  <c r="D906" i="11"/>
  <c r="D907" i="11"/>
  <c r="D908" i="11"/>
  <c r="D909" i="11"/>
  <c r="D910" i="11"/>
  <c r="D911" i="11"/>
  <c r="D912" i="11"/>
  <c r="D913" i="11"/>
  <c r="D914" i="11"/>
  <c r="D915" i="11"/>
  <c r="D916" i="11"/>
  <c r="D917" i="11"/>
  <c r="D918" i="11"/>
  <c r="D919" i="11"/>
  <c r="D920" i="11"/>
  <c r="D921" i="11"/>
  <c r="D922" i="11"/>
  <c r="D923" i="11"/>
  <c r="D924" i="11"/>
  <c r="D925" i="11"/>
  <c r="D926" i="11"/>
  <c r="D927" i="11"/>
  <c r="D928" i="11"/>
  <c r="D929" i="11"/>
  <c r="D930" i="11"/>
  <c r="D931" i="11"/>
  <c r="D932" i="11"/>
  <c r="D933" i="11"/>
  <c r="D934" i="11"/>
  <c r="D935" i="11"/>
  <c r="D936" i="11"/>
  <c r="D937" i="11"/>
  <c r="D938" i="11"/>
  <c r="D939" i="11"/>
  <c r="D940" i="11"/>
  <c r="D941" i="11"/>
  <c r="D942" i="11"/>
  <c r="D943" i="11"/>
  <c r="D944" i="11"/>
  <c r="D945" i="11"/>
  <c r="D946" i="11"/>
  <c r="D947" i="11"/>
  <c r="D948" i="11"/>
  <c r="D949" i="11"/>
  <c r="D950" i="11"/>
  <c r="D951" i="11"/>
  <c r="D952" i="11"/>
  <c r="D953" i="11"/>
  <c r="D954" i="11"/>
  <c r="D955" i="11"/>
  <c r="D956" i="11"/>
  <c r="D957" i="11"/>
  <c r="D958" i="11"/>
  <c r="D959" i="11"/>
  <c r="D960" i="11"/>
  <c r="D961" i="11"/>
  <c r="D962" i="11"/>
  <c r="D963" i="11"/>
  <c r="D964" i="11"/>
  <c r="D965" i="11"/>
  <c r="D966" i="11"/>
  <c r="D967" i="11"/>
  <c r="D968" i="11"/>
  <c r="D969" i="11"/>
  <c r="D970" i="11"/>
  <c r="D971" i="11"/>
  <c r="D972" i="11"/>
  <c r="D973" i="11"/>
  <c r="D974" i="11"/>
  <c r="D975" i="11"/>
  <c r="D976" i="11"/>
  <c r="D977" i="11"/>
  <c r="D978" i="11"/>
  <c r="D979" i="11"/>
  <c r="D980" i="11"/>
  <c r="D981" i="11"/>
  <c r="D982" i="11"/>
  <c r="D983" i="11"/>
  <c r="D984" i="11"/>
  <c r="D985" i="11"/>
  <c r="D986" i="11"/>
  <c r="D987" i="11"/>
  <c r="D988" i="11"/>
  <c r="D989" i="11"/>
  <c r="D990" i="11"/>
  <c r="D991" i="11"/>
  <c r="D992" i="11"/>
  <c r="D993" i="11"/>
  <c r="D994" i="11"/>
  <c r="D2" i="11"/>
  <c r="G7" i="11" s="1" a="1"/>
  <c r="G7" i="11" s="1"/>
  <c r="C15" i="9"/>
  <c r="I12" i="9"/>
  <c r="J12" i="9"/>
  <c r="K12" i="9"/>
  <c r="H12" i="9"/>
  <c r="K3" i="9"/>
  <c r="K4" i="9"/>
  <c r="K5" i="9"/>
  <c r="K6" i="9"/>
  <c r="K7" i="9"/>
  <c r="K8" i="9"/>
  <c r="K9" i="9"/>
  <c r="K10" i="9"/>
  <c r="K11" i="9"/>
  <c r="K2" i="9"/>
  <c r="J3" i="9"/>
  <c r="J4" i="9"/>
  <c r="J5" i="9"/>
  <c r="J6" i="9"/>
  <c r="J7" i="9"/>
  <c r="J8" i="9"/>
  <c r="J9" i="9"/>
  <c r="J10" i="9"/>
  <c r="J11" i="9"/>
  <c r="J2" i="9"/>
  <c r="I3" i="9"/>
  <c r="I4" i="9"/>
  <c r="I5" i="9"/>
  <c r="I6" i="9"/>
  <c r="I7" i="9"/>
  <c r="I8" i="9"/>
  <c r="I9" i="9"/>
  <c r="I10" i="9"/>
  <c r="I11" i="9"/>
  <c r="I2" i="9"/>
  <c r="H2" i="9"/>
  <c r="H7" i="9"/>
  <c r="H6" i="9"/>
  <c r="H3" i="9"/>
  <c r="H4" i="9"/>
  <c r="H5" i="9"/>
  <c r="H8" i="9"/>
  <c r="H9" i="9"/>
  <c r="H10" i="9"/>
  <c r="H11" i="9"/>
  <c r="E12" i="9"/>
  <c r="D12" i="9"/>
  <c r="C12" i="9"/>
  <c r="B12" i="9"/>
  <c r="E3" i="9"/>
  <c r="E4" i="9"/>
  <c r="E5" i="9"/>
  <c r="E6" i="9"/>
  <c r="E7" i="9"/>
  <c r="E8" i="9"/>
  <c r="E9" i="9"/>
  <c r="E10" i="9"/>
  <c r="E11" i="9"/>
  <c r="E2" i="9"/>
  <c r="D11" i="9"/>
  <c r="C11" i="9"/>
  <c r="B11" i="9"/>
  <c r="D10" i="9"/>
  <c r="C10" i="9"/>
  <c r="B10" i="9"/>
  <c r="D9" i="9"/>
  <c r="C9" i="9"/>
  <c r="B9" i="9"/>
  <c r="D8" i="9"/>
  <c r="C8" i="9"/>
  <c r="B8" i="9"/>
  <c r="D7" i="9"/>
  <c r="C7" i="9"/>
  <c r="B7" i="9"/>
  <c r="D6" i="9"/>
  <c r="C6" i="9"/>
  <c r="B6" i="9"/>
  <c r="D5" i="9"/>
  <c r="C5" i="9"/>
  <c r="B5" i="9"/>
  <c r="D4" i="9"/>
  <c r="C4" i="9"/>
  <c r="B4" i="9"/>
  <c r="D3" i="9"/>
  <c r="C3" i="9"/>
  <c r="B3" i="9"/>
  <c r="D2" i="9"/>
  <c r="C2" i="9"/>
  <c r="B2" i="9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G5" i="7"/>
  <c r="F5" i="7"/>
  <c r="E5" i="7"/>
  <c r="E4" i="4"/>
  <c r="G9" i="11" l="1"/>
  <c r="H9" i="11"/>
  <c r="H8" i="11"/>
  <c r="G8" i="11"/>
  <c r="H7" i="11"/>
  <c r="I615" i="2"/>
  <c r="I3" i="2"/>
  <c r="I4" i="2"/>
  <c r="I5" i="2"/>
  <c r="I6" i="2"/>
  <c r="I7" i="2"/>
  <c r="I8" i="2"/>
  <c r="I9" i="2"/>
  <c r="I10" i="2"/>
  <c r="I11" i="2"/>
  <c r="I246" i="2"/>
  <c r="I13" i="2"/>
  <c r="I12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30" i="2"/>
  <c r="I29" i="2"/>
  <c r="I32" i="2"/>
  <c r="I247" i="2"/>
  <c r="I249" i="2"/>
  <c r="I31" i="2"/>
  <c r="I33" i="2"/>
  <c r="I34" i="2"/>
  <c r="I35" i="2"/>
  <c r="I36" i="2"/>
  <c r="I37" i="2"/>
  <c r="I38" i="2"/>
  <c r="I39" i="2"/>
  <c r="I40" i="2"/>
  <c r="I44" i="2"/>
  <c r="I45" i="2"/>
  <c r="I41" i="2"/>
  <c r="I42" i="2"/>
  <c r="I43" i="2"/>
  <c r="I46" i="2"/>
  <c r="I47" i="2"/>
  <c r="I48" i="2"/>
  <c r="I52" i="2"/>
  <c r="I49" i="2"/>
  <c r="I50" i="2"/>
  <c r="I51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250" i="2"/>
  <c r="I251" i="2"/>
  <c r="I252" i="2"/>
  <c r="I88" i="2"/>
  <c r="I89" i="2"/>
  <c r="I82" i="2"/>
  <c r="I91" i="2"/>
  <c r="I83" i="2"/>
  <c r="I93" i="2"/>
  <c r="I94" i="2"/>
  <c r="I253" i="2"/>
  <c r="I96" i="2"/>
  <c r="I97" i="2"/>
  <c r="I98" i="2"/>
  <c r="I84" i="2"/>
  <c r="I85" i="2"/>
  <c r="I86" i="2"/>
  <c r="I87" i="2"/>
  <c r="I90" i="2"/>
  <c r="I92" i="2"/>
  <c r="I95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254" i="2"/>
  <c r="I255" i="2"/>
  <c r="I256" i="2"/>
  <c r="I127" i="2"/>
  <c r="I128" i="2"/>
  <c r="I129" i="2"/>
  <c r="I130" i="2"/>
  <c r="I257" i="2"/>
  <c r="I132" i="2"/>
  <c r="I117" i="2"/>
  <c r="I118" i="2"/>
  <c r="I258" i="2"/>
  <c r="I266" i="2"/>
  <c r="I119" i="2"/>
  <c r="I120" i="2"/>
  <c r="I121" i="2"/>
  <c r="I122" i="2"/>
  <c r="I123" i="2"/>
  <c r="I124" i="2"/>
  <c r="I143" i="2"/>
  <c r="I144" i="2"/>
  <c r="I125" i="2"/>
  <c r="I146" i="2"/>
  <c r="I126" i="2"/>
  <c r="I131" i="2"/>
  <c r="I133" i="2"/>
  <c r="I134" i="2"/>
  <c r="I135" i="2"/>
  <c r="I136" i="2"/>
  <c r="I153" i="2"/>
  <c r="I154" i="2"/>
  <c r="I155" i="2"/>
  <c r="I156" i="2"/>
  <c r="I157" i="2"/>
  <c r="I158" i="2"/>
  <c r="I268" i="2"/>
  <c r="I269" i="2"/>
  <c r="I280" i="2"/>
  <c r="I281" i="2"/>
  <c r="I283" i="2"/>
  <c r="I285" i="2"/>
  <c r="I288" i="2"/>
  <c r="I289" i="2"/>
  <c r="I290" i="2"/>
  <c r="I297" i="2"/>
  <c r="I298" i="2"/>
  <c r="I299" i="2"/>
  <c r="I137" i="2"/>
  <c r="I138" i="2"/>
  <c r="I173" i="2"/>
  <c r="I174" i="2"/>
  <c r="I175" i="2"/>
  <c r="I176" i="2"/>
  <c r="I177" i="2"/>
  <c r="I178" i="2"/>
  <c r="I179" i="2"/>
  <c r="I180" i="2"/>
  <c r="I181" i="2"/>
  <c r="I300" i="2"/>
  <c r="I183" i="2"/>
  <c r="I139" i="2"/>
  <c r="I140" i="2"/>
  <c r="I141" i="2"/>
  <c r="I142" i="2"/>
  <c r="I145" i="2"/>
  <c r="I147" i="2"/>
  <c r="I148" i="2"/>
  <c r="I149" i="2"/>
  <c r="I150" i="2"/>
  <c r="I151" i="2"/>
  <c r="I152" i="2"/>
  <c r="I159" i="2"/>
  <c r="I160" i="2"/>
  <c r="I161" i="2"/>
  <c r="I162" i="2"/>
  <c r="I163" i="2"/>
  <c r="I164" i="2"/>
  <c r="I165" i="2"/>
  <c r="I166" i="2"/>
  <c r="I167" i="2"/>
  <c r="I168" i="2"/>
  <c r="I205" i="2"/>
  <c r="I206" i="2"/>
  <c r="I207" i="2"/>
  <c r="I169" i="2"/>
  <c r="I209" i="2"/>
  <c r="I210" i="2"/>
  <c r="I211" i="2"/>
  <c r="I301" i="2"/>
  <c r="I213" i="2"/>
  <c r="I214" i="2"/>
  <c r="I302" i="2"/>
  <c r="I216" i="2"/>
  <c r="I217" i="2"/>
  <c r="I218" i="2"/>
  <c r="I170" i="2"/>
  <c r="I220" i="2"/>
  <c r="I221" i="2"/>
  <c r="I303" i="2"/>
  <c r="I304" i="2"/>
  <c r="I305" i="2"/>
  <c r="I225" i="2"/>
  <c r="I226" i="2"/>
  <c r="I227" i="2"/>
  <c r="I228" i="2"/>
  <c r="I229" i="2"/>
  <c r="I230" i="2"/>
  <c r="I231" i="2"/>
  <c r="I232" i="2"/>
  <c r="I233" i="2"/>
  <c r="I234" i="2"/>
  <c r="I306" i="2"/>
  <c r="I307" i="2"/>
  <c r="I308" i="2"/>
  <c r="I238" i="2"/>
  <c r="I309" i="2"/>
  <c r="I310" i="2"/>
  <c r="I311" i="2"/>
  <c r="I321" i="2"/>
  <c r="I323" i="2"/>
  <c r="I324" i="2"/>
  <c r="I340" i="2"/>
  <c r="I341" i="2"/>
  <c r="I342" i="2"/>
  <c r="I248" i="2"/>
  <c r="I171" i="2"/>
  <c r="I172" i="2"/>
  <c r="I182" i="2"/>
  <c r="I184" i="2"/>
  <c r="I185" i="2"/>
  <c r="I186" i="2"/>
  <c r="I187" i="2"/>
  <c r="I188" i="2"/>
  <c r="I189" i="2"/>
  <c r="I190" i="2"/>
  <c r="I259" i="2"/>
  <c r="I260" i="2"/>
  <c r="I261" i="2"/>
  <c r="I262" i="2"/>
  <c r="I263" i="2"/>
  <c r="I264" i="2"/>
  <c r="I265" i="2"/>
  <c r="I191" i="2"/>
  <c r="I267" i="2"/>
  <c r="I192" i="2"/>
  <c r="I343" i="2"/>
  <c r="I270" i="2"/>
  <c r="I271" i="2"/>
  <c r="I272" i="2"/>
  <c r="I273" i="2"/>
  <c r="I274" i="2"/>
  <c r="I275" i="2"/>
  <c r="I276" i="2"/>
  <c r="I277" i="2"/>
  <c r="I278" i="2"/>
  <c r="I279" i="2"/>
  <c r="I344" i="2"/>
  <c r="I345" i="2"/>
  <c r="I282" i="2"/>
  <c r="I346" i="2"/>
  <c r="I284" i="2"/>
  <c r="I193" i="2"/>
  <c r="I286" i="2"/>
  <c r="I287" i="2"/>
  <c r="I347" i="2"/>
  <c r="I348" i="2"/>
  <c r="I349" i="2"/>
  <c r="I291" i="2"/>
  <c r="I292" i="2"/>
  <c r="I293" i="2"/>
  <c r="I294" i="2"/>
  <c r="I295" i="2"/>
  <c r="I296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12" i="2"/>
  <c r="I313" i="2"/>
  <c r="I314" i="2"/>
  <c r="I315" i="2"/>
  <c r="I316" i="2"/>
  <c r="I317" i="2"/>
  <c r="I318" i="2"/>
  <c r="I319" i="2"/>
  <c r="I320" i="2"/>
  <c r="I365" i="2"/>
  <c r="I322" i="2"/>
  <c r="I366" i="2"/>
  <c r="I19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67" i="2"/>
  <c r="I368" i="2"/>
  <c r="I369" i="2"/>
  <c r="I370" i="2"/>
  <c r="I371" i="2"/>
  <c r="I384" i="2"/>
  <c r="I385" i="2"/>
  <c r="I386" i="2"/>
  <c r="I387" i="2"/>
  <c r="I388" i="2"/>
  <c r="I389" i="2"/>
  <c r="I390" i="2"/>
  <c r="I391" i="2"/>
  <c r="I392" i="2"/>
  <c r="I393" i="2"/>
  <c r="I399" i="2"/>
  <c r="I400" i="2"/>
  <c r="I401" i="2"/>
  <c r="I402" i="2"/>
  <c r="I403" i="2"/>
  <c r="I442" i="2"/>
  <c r="I443" i="2"/>
  <c r="I444" i="2"/>
  <c r="I445" i="2"/>
  <c r="I446" i="2"/>
  <c r="I447" i="2"/>
  <c r="I449" i="2"/>
  <c r="I464" i="2"/>
  <c r="I465" i="2"/>
  <c r="I466" i="2"/>
  <c r="I467" i="2"/>
  <c r="I468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492" i="2"/>
  <c r="I493" i="2"/>
  <c r="I494" i="2"/>
  <c r="I495" i="2"/>
  <c r="I496" i="2"/>
  <c r="I497" i="2"/>
  <c r="I498" i="2"/>
  <c r="I499" i="2"/>
  <c r="I500" i="2"/>
  <c r="I501" i="2"/>
  <c r="I394" i="2"/>
  <c r="I395" i="2"/>
  <c r="I396" i="2"/>
  <c r="I397" i="2"/>
  <c r="I398" i="2"/>
  <c r="I502" i="2"/>
  <c r="I503" i="2"/>
  <c r="I504" i="2"/>
  <c r="I505" i="2"/>
  <c r="I506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507" i="2"/>
  <c r="I508" i="2"/>
  <c r="I509" i="2"/>
  <c r="I528" i="2"/>
  <c r="I529" i="2"/>
  <c r="I530" i="2"/>
  <c r="I448" i="2"/>
  <c r="I531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195" i="2"/>
  <c r="I196" i="2"/>
  <c r="I197" i="2"/>
  <c r="I198" i="2"/>
  <c r="I199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52" i="2"/>
  <c r="I565" i="2"/>
  <c r="I566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200" i="2"/>
  <c r="I201" i="2"/>
  <c r="I202" i="2"/>
  <c r="I203" i="2"/>
  <c r="I204" i="2"/>
  <c r="I208" i="2"/>
  <c r="I212" i="2"/>
  <c r="I215" i="2"/>
  <c r="I219" i="2"/>
  <c r="I222" i="2"/>
  <c r="I223" i="2"/>
  <c r="I224" i="2"/>
  <c r="I235" i="2"/>
  <c r="I236" i="2"/>
  <c r="I237" i="2"/>
  <c r="I239" i="2"/>
  <c r="I240" i="2"/>
  <c r="I241" i="2"/>
  <c r="I242" i="2"/>
  <c r="I547" i="2"/>
  <c r="I548" i="2"/>
  <c r="I549" i="2"/>
  <c r="I550" i="2"/>
  <c r="I551" i="2"/>
  <c r="I567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7" i="2"/>
  <c r="I588" i="2"/>
  <c r="I589" i="2"/>
  <c r="I580" i="2"/>
  <c r="I581" i="2"/>
  <c r="I582" i="2"/>
  <c r="I583" i="2"/>
  <c r="I584" i="2"/>
  <c r="I585" i="2"/>
  <c r="I586" i="2"/>
  <c r="I592" i="2"/>
  <c r="I593" i="2"/>
  <c r="I594" i="2"/>
  <c r="I590" i="2"/>
  <c r="I591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58" i="2"/>
  <c r="I659" i="2"/>
  <c r="I660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62" i="2"/>
  <c r="I666" i="2"/>
  <c r="I667" i="2"/>
  <c r="I661" i="2"/>
  <c r="I668" i="2"/>
  <c r="I663" i="2"/>
  <c r="I664" i="2"/>
  <c r="I665" i="2"/>
  <c r="I681" i="2"/>
  <c r="I705" i="2"/>
  <c r="I706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707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8" i="2"/>
  <c r="I758" i="2"/>
  <c r="I759" i="2"/>
  <c r="I769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70" i="2"/>
  <c r="I771" i="2"/>
  <c r="I760" i="2"/>
  <c r="I761" i="2"/>
  <c r="I762" i="2"/>
  <c r="I763" i="2"/>
  <c r="I764" i="2"/>
  <c r="I765" i="2"/>
  <c r="I766" i="2"/>
  <c r="I767" i="2"/>
  <c r="I768" i="2"/>
  <c r="I838" i="2"/>
  <c r="I910" i="2"/>
  <c r="I91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916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243" i="2"/>
  <c r="I244" i="2"/>
  <c r="I912" i="2"/>
  <c r="I913" i="2"/>
  <c r="I914" i="2"/>
  <c r="I915" i="2"/>
  <c r="I947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245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2" i="2"/>
  <c r="E2" i="4" l="1"/>
  <c r="E3" i="4"/>
  <c r="B4" i="4"/>
  <c r="B13" i="4"/>
  <c r="B5" i="4"/>
  <c r="B14" i="4"/>
  <c r="B6" i="4"/>
  <c r="B7" i="4"/>
  <c r="B15" i="4"/>
  <c r="B16" i="4"/>
  <c r="B8" i="4"/>
  <c r="B9" i="4"/>
  <c r="B2" i="4"/>
  <c r="B3" i="4"/>
  <c r="B17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FBEF7D6-D953-4B7D-A52C-0535649EA20A}" keepAlive="1" name="Query - 2019-Nov" description="Connection to the '2019-Nov' query in the workbook." type="5" refreshedVersion="8" background="1" saveData="1">
    <dbPr connection="Provider=Microsoft.Mashup.OleDb.1;Data Source=$Workbook$;Location=2019-Nov;Extended Properties=&quot;&quot;" command="SELECT * FROM [2019-Nov]"/>
  </connection>
</connections>
</file>

<file path=xl/sharedStrings.xml><?xml version="1.0" encoding="utf-8"?>
<sst xmlns="http://schemas.openxmlformats.org/spreadsheetml/2006/main" count="4109" uniqueCount="328">
  <si>
    <t>Date</t>
  </si>
  <si>
    <t>EventType</t>
  </si>
  <si>
    <t>Product</t>
  </si>
  <si>
    <t>Category</t>
  </si>
  <si>
    <t>Brand</t>
  </si>
  <si>
    <t>Price</t>
  </si>
  <si>
    <t>CustomerID</t>
  </si>
  <si>
    <t>Quantity</t>
  </si>
  <si>
    <t>TotalPurchase</t>
  </si>
  <si>
    <t>purchase</t>
  </si>
  <si>
    <t>furniture.bedroom.bed</t>
  </si>
  <si>
    <t>electronics.smartphone</t>
  </si>
  <si>
    <t>xiaomi</t>
  </si>
  <si>
    <t>samsung</t>
  </si>
  <si>
    <t>lucente</t>
  </si>
  <si>
    <t>electronics.video.tv</t>
  </si>
  <si>
    <t>electronics.audio.subwoofer</t>
  </si>
  <si>
    <t>nakamichi</t>
  </si>
  <si>
    <t>construction.tools.welding</t>
  </si>
  <si>
    <t>magnetta</t>
  </si>
  <si>
    <t>electronics.audio.music_tools.piano</t>
  </si>
  <si>
    <t>cortland</t>
  </si>
  <si>
    <t>apple</t>
  </si>
  <si>
    <t>maxxis</t>
  </si>
  <si>
    <t>computers.desktop</t>
  </si>
  <si>
    <t>netechnics</t>
  </si>
  <si>
    <t>sony</t>
  </si>
  <si>
    <t>carfashion</t>
  </si>
  <si>
    <t>appliances.kitchen.microwave</t>
  </si>
  <si>
    <t>midea</t>
  </si>
  <si>
    <t>computers.peripherals.printer</t>
  </si>
  <si>
    <t>hp</t>
  </si>
  <si>
    <t>pulser</t>
  </si>
  <si>
    <t>electronics.audio.headphone</t>
  </si>
  <si>
    <t>hyundai</t>
  </si>
  <si>
    <t>sv</t>
  </si>
  <si>
    <t>triangle</t>
  </si>
  <si>
    <t>arg</t>
  </si>
  <si>
    <t>bosch</t>
  </si>
  <si>
    <t>jbl</t>
  </si>
  <si>
    <t>apparel.shoes.keds</t>
  </si>
  <si>
    <t>puma</t>
  </si>
  <si>
    <t>montblanc</t>
  </si>
  <si>
    <t>construction.tools.generator</t>
  </si>
  <si>
    <t>tefal</t>
  </si>
  <si>
    <t>electronics.clocks</t>
  </si>
  <si>
    <t>casio</t>
  </si>
  <si>
    <t>oppo</t>
  </si>
  <si>
    <t>peak</t>
  </si>
  <si>
    <t>asics</t>
  </si>
  <si>
    <t>appliances.kitchen.blender</t>
  </si>
  <si>
    <t>braun</t>
  </si>
  <si>
    <t>cordiant</t>
  </si>
  <si>
    <t>viatti</t>
  </si>
  <si>
    <t>appliances.kitchen.hob</t>
  </si>
  <si>
    <t>greta</t>
  </si>
  <si>
    <t>hifly</t>
  </si>
  <si>
    <t>appliances.environment.vacuum</t>
  </si>
  <si>
    <t>meizu</t>
  </si>
  <si>
    <t>auto.accessories.player</t>
  </si>
  <si>
    <t>huawei</t>
  </si>
  <si>
    <t>dsquared</t>
  </si>
  <si>
    <t>stendmebel</t>
  </si>
  <si>
    <t>nokian</t>
  </si>
  <si>
    <t>elari</t>
  </si>
  <si>
    <t>redmond</t>
  </si>
  <si>
    <t>stels</t>
  </si>
  <si>
    <t>tuka</t>
  </si>
  <si>
    <t>gefest</t>
  </si>
  <si>
    <t>computers.notebook</t>
  </si>
  <si>
    <t>scarlett</t>
  </si>
  <si>
    <t>chanel</t>
  </si>
  <si>
    <t>appliances.kitchen.oven</t>
  </si>
  <si>
    <t>asel</t>
  </si>
  <si>
    <t>computers.components.videocards</t>
  </si>
  <si>
    <t>asrock</t>
  </si>
  <si>
    <t>appliances.environment.water_heater</t>
  </si>
  <si>
    <t>ariston</t>
  </si>
  <si>
    <t>haier</t>
  </si>
  <si>
    <t>furniture.living_room.sofa</t>
  </si>
  <si>
    <t>arnica</t>
  </si>
  <si>
    <t>appliances.kitchen.washer</t>
  </si>
  <si>
    <t>indesit</t>
  </si>
  <si>
    <t>accessories.bag</t>
  </si>
  <si>
    <t>stayer</t>
  </si>
  <si>
    <t>philips</t>
  </si>
  <si>
    <t>force</t>
  </si>
  <si>
    <t>construction.components.faucet</t>
  </si>
  <si>
    <t>decoroom</t>
  </si>
  <si>
    <t>hotpoint-ariston</t>
  </si>
  <si>
    <t>moschino</t>
  </si>
  <si>
    <t>artel</t>
  </si>
  <si>
    <t>lg</t>
  </si>
  <si>
    <t>computers.peripherals.monitor</t>
  </si>
  <si>
    <t>acer</t>
  </si>
  <si>
    <t>adile</t>
  </si>
  <si>
    <t>galaxy</t>
  </si>
  <si>
    <t>tigar</t>
  </si>
  <si>
    <t>kenwood</t>
  </si>
  <si>
    <t>asustor</t>
  </si>
  <si>
    <t>appliances.kitchen.refrigerators</t>
  </si>
  <si>
    <t>leadbros</t>
  </si>
  <si>
    <t>transcend</t>
  </si>
  <si>
    <t>tcl</t>
  </si>
  <si>
    <t>dji</t>
  </si>
  <si>
    <t>epson</t>
  </si>
  <si>
    <t>goodyear</t>
  </si>
  <si>
    <t>ikea</t>
  </si>
  <si>
    <t>roingto</t>
  </si>
  <si>
    <t>navien</t>
  </si>
  <si>
    <t>lego</t>
  </si>
  <si>
    <t>dauscher</t>
  </si>
  <si>
    <t>timberk</t>
  </si>
  <si>
    <t>apparel.shoes</t>
  </si>
  <si>
    <t>respect</t>
  </si>
  <si>
    <t>yokohama</t>
  </si>
  <si>
    <t>construction.tools.drill</t>
  </si>
  <si>
    <t>furniture.living_room.cabinet</t>
  </si>
  <si>
    <t>lanvin</t>
  </si>
  <si>
    <t>wallberry</t>
  </si>
  <si>
    <t>appliances.kitchen.kettle</t>
  </si>
  <si>
    <t>willmark</t>
  </si>
  <si>
    <t>dewalt</t>
  </si>
  <si>
    <t>lenovo</t>
  </si>
  <si>
    <t>electronics.tablet</t>
  </si>
  <si>
    <t>zeta</t>
  </si>
  <si>
    <t>olmio</t>
  </si>
  <si>
    <t>etor</t>
  </si>
  <si>
    <t>caramelia</t>
  </si>
  <si>
    <t>electrolux</t>
  </si>
  <si>
    <t>msi</t>
  </si>
  <si>
    <t>ea</t>
  </si>
  <si>
    <t>picard</t>
  </si>
  <si>
    <t>crown</t>
  </si>
  <si>
    <t>appliances.personal.scales</t>
  </si>
  <si>
    <t>bethesda</t>
  </si>
  <si>
    <t>tp-link</t>
  </si>
  <si>
    <t>accessories.wallet</t>
  </si>
  <si>
    <t>volta</t>
  </si>
  <si>
    <t>appliances.kitchen.hood</t>
  </si>
  <si>
    <t>oasis</t>
  </si>
  <si>
    <t>kapsen</t>
  </si>
  <si>
    <t>electronics.telephone</t>
  </si>
  <si>
    <t>nokia</t>
  </si>
  <si>
    <t>texet</t>
  </si>
  <si>
    <t>shell</t>
  </si>
  <si>
    <t>furniture.kitchen.chair</t>
  </si>
  <si>
    <t>fly</t>
  </si>
  <si>
    <t>appliances.personal.massager</t>
  </si>
  <si>
    <t>vitek</t>
  </si>
  <si>
    <t>appliances.kitchen.coffee_machine</t>
  </si>
  <si>
    <t>vinzer</t>
  </si>
  <si>
    <t>microlab</t>
  </si>
  <si>
    <t>polaris</t>
  </si>
  <si>
    <t>gigabyte</t>
  </si>
  <si>
    <t>kids.dolls</t>
  </si>
  <si>
    <t>llorens</t>
  </si>
  <si>
    <t>appliances.iron</t>
  </si>
  <si>
    <t>bq</t>
  </si>
  <si>
    <t>matador</t>
  </si>
  <si>
    <t>auto.accessories.radar</t>
  </si>
  <si>
    <t>ibox</t>
  </si>
  <si>
    <t>appliances.environment.air_conditioner</t>
  </si>
  <si>
    <t>kids.toys</t>
  </si>
  <si>
    <t>bestoy</t>
  </si>
  <si>
    <t>computers.components.hdd</t>
  </si>
  <si>
    <t>apacer</t>
  </si>
  <si>
    <t>construction.tools.saw</t>
  </si>
  <si>
    <t>huter</t>
  </si>
  <si>
    <t>pioneer</t>
  </si>
  <si>
    <t>maxwell</t>
  </si>
  <si>
    <t>ecotex</t>
  </si>
  <si>
    <t>nexen</t>
  </si>
  <si>
    <t>similac</t>
  </si>
  <si>
    <t>millionaire</t>
  </si>
  <si>
    <t>toshiba</t>
  </si>
  <si>
    <t>tunga</t>
  </si>
  <si>
    <t>vega</t>
  </si>
  <si>
    <t>edufun</t>
  </si>
  <si>
    <t>jinga</t>
  </si>
  <si>
    <t>gorenje</t>
  </si>
  <si>
    <t>element</t>
  </si>
  <si>
    <t>xerox</t>
  </si>
  <si>
    <t>appliances.sewing_machine</t>
  </si>
  <si>
    <t>brother</t>
  </si>
  <si>
    <t>thomas</t>
  </si>
  <si>
    <t>apparel.dress</t>
  </si>
  <si>
    <t>conceptclub</t>
  </si>
  <si>
    <t>skad</t>
  </si>
  <si>
    <t>yunteng</t>
  </si>
  <si>
    <t>remington</t>
  </si>
  <si>
    <t>nutricia</t>
  </si>
  <si>
    <t>rondell</t>
  </si>
  <si>
    <t>genesis</t>
  </si>
  <si>
    <t>lider</t>
  </si>
  <si>
    <t>marshall</t>
  </si>
  <si>
    <t>askona</t>
  </si>
  <si>
    <t>furniture.kitchen.table</t>
  </si>
  <si>
    <t>komfort-s</t>
  </si>
  <si>
    <t>appliances.kitchen.grill</t>
  </si>
  <si>
    <t>nexpero</t>
  </si>
  <si>
    <t>habilead</t>
  </si>
  <si>
    <t>appliances.kitchen.mixer</t>
  </si>
  <si>
    <t>elenberg</t>
  </si>
  <si>
    <t>dior</t>
  </si>
  <si>
    <t>genau</t>
  </si>
  <si>
    <t>beko</t>
  </si>
  <si>
    <t>appliances.kitchen.meat_grinder</t>
  </si>
  <si>
    <t>moulinex</t>
  </si>
  <si>
    <t>rooman</t>
  </si>
  <si>
    <t>jet</t>
  </si>
  <si>
    <t>auto.accessories.alarm</t>
  </si>
  <si>
    <t>starline</t>
  </si>
  <si>
    <t>hansa</t>
  </si>
  <si>
    <t>elite</t>
  </si>
  <si>
    <t>gigawatt</t>
  </si>
  <si>
    <t>powertrac</t>
  </si>
  <si>
    <t>gislaved</t>
  </si>
  <si>
    <t>nan</t>
  </si>
  <si>
    <t>sava</t>
  </si>
  <si>
    <t>pt-group</t>
  </si>
  <si>
    <t>computers.components.power_supply</t>
  </si>
  <si>
    <t>aerocool</t>
  </si>
  <si>
    <t>kingston</t>
  </si>
  <si>
    <t>appliances.personal.hair_cutter</t>
  </si>
  <si>
    <t>computers.peripherals.keyboard</t>
  </si>
  <si>
    <t>defender</t>
  </si>
  <si>
    <t>kolner</t>
  </si>
  <si>
    <t>janome</t>
  </si>
  <si>
    <t>perilla</t>
  </si>
  <si>
    <t>sokolov</t>
  </si>
  <si>
    <t>brw</t>
  </si>
  <si>
    <t>harper</t>
  </si>
  <si>
    <t>joie</t>
  </si>
  <si>
    <t>artmusical</t>
  </si>
  <si>
    <t>Other</t>
  </si>
  <si>
    <t>Mean</t>
  </si>
  <si>
    <t>Descriptive Statistics</t>
  </si>
  <si>
    <t>Median</t>
  </si>
  <si>
    <t>Mode</t>
  </si>
  <si>
    <t>Standard Dev.</t>
  </si>
  <si>
    <t>Variance</t>
  </si>
  <si>
    <t>Minimum</t>
  </si>
  <si>
    <t>Maximum</t>
  </si>
  <si>
    <t>Range</t>
  </si>
  <si>
    <t>Statistic</t>
  </si>
  <si>
    <t>Value</t>
  </si>
  <si>
    <t>Standard Deviation</t>
  </si>
  <si>
    <t>DESCRIPTIVE STATISTICS</t>
  </si>
  <si>
    <t>REGRESSION ANALYSIS (Price vs TotalPurchase)</t>
  </si>
  <si>
    <t>Slope (m)</t>
  </si>
  <si>
    <t>Intercept (b)</t>
  </si>
  <si>
    <t>R-squared</t>
  </si>
  <si>
    <t>Correlation Coefficient</t>
  </si>
  <si>
    <t>Regression Equation</t>
  </si>
  <si>
    <t>REGRESSION ANALYSIS</t>
  </si>
  <si>
    <t>(Price vs TotalPurchase)</t>
  </si>
  <si>
    <t>Correlation</t>
  </si>
  <si>
    <t>Equation</t>
  </si>
  <si>
    <t>y = 3.37x + -66.86</t>
  </si>
  <si>
    <t>T-Test: Apple vs Samsung</t>
  </si>
  <si>
    <t>Apple Mean</t>
  </si>
  <si>
    <t>Samsung Mean</t>
  </si>
  <si>
    <t>T-Test P-Value</t>
  </si>
  <si>
    <t>T-Test p-Value</t>
  </si>
  <si>
    <t xml:space="preserve"> T-TEST: Apple vs Samsung </t>
  </si>
  <si>
    <t>Apple</t>
  </si>
  <si>
    <t>Samsung</t>
  </si>
  <si>
    <t>Row Labels</t>
  </si>
  <si>
    <t>Grand Total</t>
  </si>
  <si>
    <t>Sum of TotalPurchase</t>
  </si>
  <si>
    <t>Xiaomi</t>
  </si>
  <si>
    <t>Anova: Single Factor</t>
  </si>
  <si>
    <t>SUMMARY</t>
  </si>
  <si>
    <t>Groups</t>
  </si>
  <si>
    <t>Count</t>
  </si>
  <si>
    <t>Sum</t>
  </si>
  <si>
    <t>Average</t>
  </si>
  <si>
    <t>ANOVA</t>
  </si>
  <si>
    <t>Source of Variation</t>
  </si>
  <si>
    <t>SS</t>
  </si>
  <si>
    <t>df</t>
  </si>
  <si>
    <t>MS</t>
  </si>
  <si>
    <t>F</t>
  </si>
  <si>
    <t>P-value</t>
  </si>
  <si>
    <t>F crit</t>
  </si>
  <si>
    <t>Between Groups</t>
  </si>
  <si>
    <t>Within Groups</t>
  </si>
  <si>
    <t>Total</t>
  </si>
  <si>
    <t>PriceRange</t>
  </si>
  <si>
    <t>electronics</t>
  </si>
  <si>
    <t>computers</t>
  </si>
  <si>
    <t>appliances</t>
  </si>
  <si>
    <t>furniture</t>
  </si>
  <si>
    <t>construction</t>
  </si>
  <si>
    <t>auto</t>
  </si>
  <si>
    <t>accessories</t>
  </si>
  <si>
    <t>apparel</t>
  </si>
  <si>
    <t>kids</t>
  </si>
  <si>
    <t>Main Category</t>
  </si>
  <si>
    <t>Low</t>
  </si>
  <si>
    <t>Medium</t>
  </si>
  <si>
    <t>High</t>
  </si>
  <si>
    <t>Row Total</t>
  </si>
  <si>
    <t>MainCategory</t>
  </si>
  <si>
    <t>Col Total</t>
  </si>
  <si>
    <t>Main 
Category</t>
  </si>
  <si>
    <t>Expected
Low</t>
  </si>
  <si>
    <t>Expected 
Medium</t>
  </si>
  <si>
    <t>Expected 
High</t>
  </si>
  <si>
    <t>Chi-Square p-value</t>
  </si>
  <si>
    <t>Pivot Table for Daily Total Sales with 
Forecast Trendline (Nov 1 – Nov 15, 2019)</t>
  </si>
  <si>
    <t>Price x Quantity</t>
  </si>
  <si>
    <t>Slope (PxQ coefficient)</t>
  </si>
  <si>
    <t>Intercept</t>
  </si>
  <si>
    <t>Standard Error (slope)</t>
  </si>
  <si>
    <t>Standard Error (intercept)</t>
  </si>
  <si>
    <t>R² (Goodness of Fit)</t>
  </si>
  <si>
    <t>Standard Error of y-estimate</t>
  </si>
  <si>
    <r>
      <t xml:space="preserve">Predicting </t>
    </r>
    <r>
      <rPr>
        <b/>
        <u/>
        <sz val="10"/>
        <color theme="1"/>
        <rFont val="Arial Unicode MS"/>
      </rPr>
      <t>TotalPurchase</t>
    </r>
    <r>
      <rPr>
        <b/>
        <u/>
        <sz val="11"/>
        <color theme="1"/>
        <rFont val="Calibri"/>
        <family val="2"/>
        <scheme val="minor"/>
      </rPr>
      <t xml:space="preserve"> from </t>
    </r>
    <r>
      <rPr>
        <b/>
        <u/>
        <sz val="10"/>
        <color theme="1"/>
        <rFont val="Arial Unicode MS"/>
      </rPr>
      <t>Price</t>
    </r>
    <r>
      <rPr>
        <b/>
        <u/>
        <sz val="11"/>
        <color theme="1"/>
        <rFont val="Calibri"/>
        <family val="2"/>
        <scheme val="minor"/>
      </rPr>
      <t xml:space="preserve"> and </t>
    </r>
    <r>
      <rPr>
        <b/>
        <u/>
        <sz val="10"/>
        <color theme="1"/>
        <rFont val="Arial Unicode MS"/>
      </rPr>
      <t>Quantity
 using</t>
    </r>
    <r>
      <rPr>
        <b/>
        <u/>
        <sz val="11"/>
        <color theme="1"/>
        <rFont val="Calibri"/>
        <family val="2"/>
        <scheme val="minor"/>
      </rPr>
      <t xml:space="preserve">  LINEST() for Multiple Linear Regression</t>
    </r>
  </si>
  <si>
    <t>PredictedPurchase=Slope * (Price x Quantity) + Intercept</t>
  </si>
  <si>
    <t>PredictedPurchase= 1*(Price x Quantity)+1.25056E-12</t>
  </si>
  <si>
    <t>Predicted 
TotalPurchase</t>
  </si>
  <si>
    <t>X</t>
  </si>
  <si>
    <t>Y</t>
  </si>
  <si>
    <t>Table for creating x=y line</t>
  </si>
  <si>
    <t>Total Purchase-used for T-test , ANOVA and A/B test</t>
  </si>
  <si>
    <t>A/B test  p-value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</si>
</sst>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b/>
      <u/>
      <sz val="14"/>
      <color theme="5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color theme="1"/>
      <name val="Arial Unicode MS"/>
    </font>
    <font>
      <b/>
      <i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0"/>
      <color theme="1"/>
      <name val="Arial Unicode MS"/>
    </font>
    <font>
      <b/>
      <sz val="12"/>
      <color theme="1"/>
      <name val="Calibri"/>
      <family val="2"/>
      <scheme val="minor"/>
    </font>
    <font>
      <i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2" fillId="2" borderId="1" xfId="0" applyFont="1" applyFill="1" applyBorder="1" applyAlignment="1">
      <alignment vertical="center" wrapText="1"/>
    </xf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/>
    <xf numFmtId="0" fontId="0" fillId="0" borderId="1" xfId="0" applyBorder="1"/>
    <xf numFmtId="0" fontId="0" fillId="0" borderId="0" xfId="0" pivotButton="1"/>
    <xf numFmtId="0" fontId="7" fillId="3" borderId="1" xfId="0" applyFont="1" applyFill="1" applyBorder="1" applyAlignment="1">
      <alignment horizontal="center" vertical="center" wrapText="1"/>
    </xf>
    <xf numFmtId="0" fontId="2" fillId="2" borderId="1" xfId="0" applyFont="1" applyFill="1" applyBorder="1"/>
    <xf numFmtId="0" fontId="6" fillId="3" borderId="1" xfId="0" applyFont="1" applyFill="1" applyBorder="1"/>
    <xf numFmtId="0" fontId="2" fillId="2" borderId="1" xfId="0" applyFont="1" applyFill="1" applyBorder="1" applyAlignment="1">
      <alignment horizontal="center"/>
    </xf>
    <xf numFmtId="0" fontId="8" fillId="3" borderId="1" xfId="0" applyFont="1" applyFill="1" applyBorder="1"/>
    <xf numFmtId="0" fontId="0" fillId="0" borderId="11" xfId="0" applyBorder="1"/>
    <xf numFmtId="0" fontId="0" fillId="0" borderId="12" xfId="0" applyBorder="1"/>
    <xf numFmtId="0" fontId="0" fillId="0" borderId="11" xfId="0" applyBorder="1" applyAlignment="1">
      <alignment horizontal="center" vertical="center" wrapText="1"/>
    </xf>
    <xf numFmtId="49" fontId="0" fillId="0" borderId="1" xfId="0" applyNumberFormat="1" applyBorder="1"/>
    <xf numFmtId="0" fontId="0" fillId="0" borderId="11" xfId="0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wrapText="1"/>
    </xf>
    <xf numFmtId="0" fontId="9" fillId="3" borderId="0" xfId="0" applyFont="1" applyFill="1"/>
    <xf numFmtId="14" fontId="0" fillId="0" borderId="0" xfId="0" applyNumberFormat="1" applyAlignment="1">
      <alignment horizontal="left"/>
    </xf>
    <xf numFmtId="0" fontId="1" fillId="0" borderId="0" xfId="0" applyFont="1" applyAlignment="1">
      <alignment horizontal="center" vertical="center"/>
    </xf>
    <xf numFmtId="0" fontId="10" fillId="2" borderId="0" xfId="0" applyFont="1" applyFill="1"/>
    <xf numFmtId="0" fontId="5" fillId="2" borderId="0" xfId="0" applyFont="1" applyFill="1"/>
    <xf numFmtId="0" fontId="11" fillId="3" borderId="0" xfId="0" applyFont="1" applyFill="1"/>
    <xf numFmtId="0" fontId="5" fillId="2" borderId="1" xfId="0" applyFont="1" applyFill="1" applyBorder="1"/>
    <xf numFmtId="0" fontId="11" fillId="3" borderId="1" xfId="0" applyFont="1" applyFill="1" applyBorder="1"/>
    <xf numFmtId="0" fontId="0" fillId="3" borderId="0" xfId="0" applyFill="1"/>
    <xf numFmtId="2" fontId="1" fillId="0" borderId="0" xfId="0" applyNumberFormat="1" applyFont="1" applyAlignment="1">
      <alignment horizontal="center" vertical="center" wrapText="1"/>
    </xf>
    <xf numFmtId="2" fontId="0" fillId="0" borderId="0" xfId="0" applyNumberFormat="1"/>
    <xf numFmtId="0" fontId="0" fillId="5" borderId="0" xfId="0" applyFill="1"/>
    <xf numFmtId="0" fontId="0" fillId="3" borderId="1" xfId="0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wrapText="1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</cellXfs>
  <cellStyles count="1">
    <cellStyle name="Normal" xfId="0" builtinId="0"/>
  </cellStyles>
  <dxfs count="13"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A/B Testing: Average Purchase Value by Brand</a:t>
            </a:r>
            <a:endParaRPr lang="en-IN"/>
          </a:p>
        </c:rich>
      </c:tx>
      <c:layout>
        <c:manualLayout>
          <c:xMode val="edge"/>
          <c:yMode val="edge"/>
          <c:x val="0.130347112860892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0.16380917663069894"/>
          <c:y val="0.33533011272141705"/>
          <c:w val="0.8022402060853504"/>
          <c:h val="0.471056842532364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Formulas!$D$2</c:f>
              <c:strCache>
                <c:ptCount val="1"/>
                <c:pt idx="0">
                  <c:v>Apple Mean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E1B1-49FC-A0D6-5ED4D6D371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Formulas!$E$2</c:f>
              <c:numCache>
                <c:formatCode>General</c:formatCode>
                <c:ptCount val="1"/>
                <c:pt idx="0">
                  <c:v>2416.278611111115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B1-49FC-A0D6-5ED4D6D37187}"/>
            </c:ext>
          </c:extLst>
        </c:ser>
        <c:ser>
          <c:idx val="1"/>
          <c:order val="1"/>
          <c:tx>
            <c:strRef>
              <c:f>Formulas!$D$3</c:f>
              <c:strCache>
                <c:ptCount val="1"/>
                <c:pt idx="0">
                  <c:v>Samsung Mean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Formulas!$E$3</c:f>
              <c:numCache>
                <c:formatCode>General</c:formatCode>
                <c:ptCount val="1"/>
                <c:pt idx="0">
                  <c:v>712.74636771300516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B1-49FC-A0D6-5ED4D6D3718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563238352"/>
        <c:axId val="1563241712"/>
      </c:barChart>
      <c:catAx>
        <c:axId val="1563238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Brand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3241712"/>
        <c:crosses val="autoZero"/>
        <c:auto val="1"/>
        <c:lblAlgn val="ctr"/>
        <c:lblOffset val="100"/>
        <c:noMultiLvlLbl val="0"/>
      </c:catAx>
      <c:valAx>
        <c:axId val="156324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Average TotalPurchase</a:t>
                </a:r>
              </a:p>
            </c:rich>
          </c:tx>
          <c:layout>
            <c:manualLayout>
              <c:xMode val="edge"/>
              <c:yMode val="edge"/>
              <c:x val="3.0864197530864196E-2"/>
              <c:y val="0.200064412238325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32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Regression: TotalPurchase vs Price</a:t>
            </a:r>
            <a:endParaRPr lang="en-US"/>
          </a:p>
        </c:rich>
      </c:tx>
      <c:layout>
        <c:manualLayout>
          <c:xMode val="edge"/>
          <c:yMode val="edge"/>
          <c:x val="0.16336563698768428"/>
          <c:y val="2.77776948988694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SalesData!$I$1</c:f>
              <c:strCache>
                <c:ptCount val="1"/>
                <c:pt idx="0">
                  <c:v>TotalPurchase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26763845144356957"/>
                  <c:y val="-0.118523622047244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SalesData!$F$2:$F$1001</c:f>
              <c:numCache>
                <c:formatCode>General</c:formatCode>
                <c:ptCount val="1000"/>
                <c:pt idx="0">
                  <c:v>2011.63</c:v>
                </c:pt>
                <c:pt idx="1">
                  <c:v>1860.69</c:v>
                </c:pt>
                <c:pt idx="2">
                  <c:v>1665.36</c:v>
                </c:pt>
                <c:pt idx="3">
                  <c:v>1665.36</c:v>
                </c:pt>
                <c:pt idx="4">
                  <c:v>1665.36</c:v>
                </c:pt>
                <c:pt idx="5">
                  <c:v>1665.36</c:v>
                </c:pt>
                <c:pt idx="6">
                  <c:v>1665.36</c:v>
                </c:pt>
                <c:pt idx="7">
                  <c:v>1583.48</c:v>
                </c:pt>
                <c:pt idx="8">
                  <c:v>1583.48</c:v>
                </c:pt>
                <c:pt idx="9">
                  <c:v>1549.07</c:v>
                </c:pt>
                <c:pt idx="10">
                  <c:v>1455.57</c:v>
                </c:pt>
                <c:pt idx="11">
                  <c:v>1527.68</c:v>
                </c:pt>
                <c:pt idx="12">
                  <c:v>1455.57</c:v>
                </c:pt>
                <c:pt idx="13">
                  <c:v>1348.61</c:v>
                </c:pt>
                <c:pt idx="14">
                  <c:v>1348.61</c:v>
                </c:pt>
                <c:pt idx="15">
                  <c:v>1348.61</c:v>
                </c:pt>
                <c:pt idx="16">
                  <c:v>1348.61</c:v>
                </c:pt>
                <c:pt idx="17">
                  <c:v>1348.61</c:v>
                </c:pt>
                <c:pt idx="18">
                  <c:v>1348.61</c:v>
                </c:pt>
                <c:pt idx="19">
                  <c:v>1348.61</c:v>
                </c:pt>
                <c:pt idx="20">
                  <c:v>1348.61</c:v>
                </c:pt>
                <c:pt idx="21">
                  <c:v>1348.61</c:v>
                </c:pt>
                <c:pt idx="22">
                  <c:v>1348.61</c:v>
                </c:pt>
                <c:pt idx="23">
                  <c:v>1348.61</c:v>
                </c:pt>
                <c:pt idx="24">
                  <c:v>1348.61</c:v>
                </c:pt>
                <c:pt idx="25">
                  <c:v>1337.23</c:v>
                </c:pt>
                <c:pt idx="26">
                  <c:v>1337.23</c:v>
                </c:pt>
                <c:pt idx="27">
                  <c:v>1182.3699999999999</c:v>
                </c:pt>
                <c:pt idx="28">
                  <c:v>1281.96</c:v>
                </c:pt>
                <c:pt idx="29">
                  <c:v>1106.5899999999999</c:v>
                </c:pt>
                <c:pt idx="30">
                  <c:v>1147.26</c:v>
                </c:pt>
                <c:pt idx="31">
                  <c:v>1027.5899999999999</c:v>
                </c:pt>
                <c:pt idx="32">
                  <c:v>1027.44</c:v>
                </c:pt>
                <c:pt idx="33">
                  <c:v>1013.86</c:v>
                </c:pt>
                <c:pt idx="34">
                  <c:v>1013.86</c:v>
                </c:pt>
                <c:pt idx="35">
                  <c:v>1013.86</c:v>
                </c:pt>
                <c:pt idx="36">
                  <c:v>1013.86</c:v>
                </c:pt>
                <c:pt idx="37">
                  <c:v>1013.86</c:v>
                </c:pt>
                <c:pt idx="38">
                  <c:v>1003.63</c:v>
                </c:pt>
                <c:pt idx="39">
                  <c:v>977.3</c:v>
                </c:pt>
                <c:pt idx="40">
                  <c:v>977.3</c:v>
                </c:pt>
                <c:pt idx="41">
                  <c:v>977.3</c:v>
                </c:pt>
                <c:pt idx="42">
                  <c:v>980.46</c:v>
                </c:pt>
                <c:pt idx="43">
                  <c:v>977.89</c:v>
                </c:pt>
                <c:pt idx="44">
                  <c:v>976.82</c:v>
                </c:pt>
                <c:pt idx="45">
                  <c:v>973.41</c:v>
                </c:pt>
                <c:pt idx="46">
                  <c:v>973.41</c:v>
                </c:pt>
                <c:pt idx="47">
                  <c:v>949.47</c:v>
                </c:pt>
                <c:pt idx="48">
                  <c:v>949.47</c:v>
                </c:pt>
                <c:pt idx="49">
                  <c:v>949.47</c:v>
                </c:pt>
                <c:pt idx="50">
                  <c:v>952.15</c:v>
                </c:pt>
                <c:pt idx="51">
                  <c:v>949.47</c:v>
                </c:pt>
                <c:pt idx="52">
                  <c:v>949.47</c:v>
                </c:pt>
                <c:pt idx="53">
                  <c:v>949.47</c:v>
                </c:pt>
                <c:pt idx="54">
                  <c:v>949.47</c:v>
                </c:pt>
                <c:pt idx="55">
                  <c:v>949.47</c:v>
                </c:pt>
                <c:pt idx="56">
                  <c:v>949.47</c:v>
                </c:pt>
                <c:pt idx="57">
                  <c:v>949.47</c:v>
                </c:pt>
                <c:pt idx="58">
                  <c:v>949.47</c:v>
                </c:pt>
                <c:pt idx="59">
                  <c:v>949.47</c:v>
                </c:pt>
                <c:pt idx="60">
                  <c:v>949.47</c:v>
                </c:pt>
                <c:pt idx="61">
                  <c:v>949.47</c:v>
                </c:pt>
                <c:pt idx="62">
                  <c:v>949.47</c:v>
                </c:pt>
                <c:pt idx="63">
                  <c:v>949.47</c:v>
                </c:pt>
                <c:pt idx="64">
                  <c:v>949.47</c:v>
                </c:pt>
                <c:pt idx="65">
                  <c:v>949.47</c:v>
                </c:pt>
                <c:pt idx="66">
                  <c:v>949.47</c:v>
                </c:pt>
                <c:pt idx="67">
                  <c:v>949.47</c:v>
                </c:pt>
                <c:pt idx="68">
                  <c:v>949.47</c:v>
                </c:pt>
                <c:pt idx="69">
                  <c:v>949.47</c:v>
                </c:pt>
                <c:pt idx="70">
                  <c:v>949.47</c:v>
                </c:pt>
                <c:pt idx="71">
                  <c:v>949.47</c:v>
                </c:pt>
                <c:pt idx="72">
                  <c:v>949.47</c:v>
                </c:pt>
                <c:pt idx="73">
                  <c:v>949.47</c:v>
                </c:pt>
                <c:pt idx="74">
                  <c:v>949.47</c:v>
                </c:pt>
                <c:pt idx="75">
                  <c:v>949.47</c:v>
                </c:pt>
                <c:pt idx="76">
                  <c:v>928.38</c:v>
                </c:pt>
                <c:pt idx="77">
                  <c:v>928.18</c:v>
                </c:pt>
                <c:pt idx="78">
                  <c:v>928.18</c:v>
                </c:pt>
                <c:pt idx="79">
                  <c:v>928.18</c:v>
                </c:pt>
                <c:pt idx="80">
                  <c:v>823.16</c:v>
                </c:pt>
                <c:pt idx="81">
                  <c:v>776.08</c:v>
                </c:pt>
                <c:pt idx="82">
                  <c:v>749.67</c:v>
                </c:pt>
                <c:pt idx="83">
                  <c:v>749.67</c:v>
                </c:pt>
                <c:pt idx="84">
                  <c:v>749.67</c:v>
                </c:pt>
                <c:pt idx="85">
                  <c:v>732.07</c:v>
                </c:pt>
                <c:pt idx="86">
                  <c:v>888.03</c:v>
                </c:pt>
                <c:pt idx="87">
                  <c:v>874.93</c:v>
                </c:pt>
                <c:pt idx="88">
                  <c:v>732.07</c:v>
                </c:pt>
                <c:pt idx="89">
                  <c:v>818.19</c:v>
                </c:pt>
                <c:pt idx="90">
                  <c:v>732.07</c:v>
                </c:pt>
                <c:pt idx="91">
                  <c:v>772.19</c:v>
                </c:pt>
                <c:pt idx="92">
                  <c:v>771.96</c:v>
                </c:pt>
                <c:pt idx="93">
                  <c:v>732.07</c:v>
                </c:pt>
                <c:pt idx="94">
                  <c:v>757.7</c:v>
                </c:pt>
                <c:pt idx="95">
                  <c:v>751.27</c:v>
                </c:pt>
                <c:pt idx="96">
                  <c:v>751.27</c:v>
                </c:pt>
                <c:pt idx="97">
                  <c:v>722.4</c:v>
                </c:pt>
                <c:pt idx="98">
                  <c:v>722.4</c:v>
                </c:pt>
                <c:pt idx="99">
                  <c:v>722.4</c:v>
                </c:pt>
                <c:pt idx="100">
                  <c:v>722.4</c:v>
                </c:pt>
                <c:pt idx="101">
                  <c:v>722.4</c:v>
                </c:pt>
                <c:pt idx="102">
                  <c:v>722.4</c:v>
                </c:pt>
                <c:pt idx="103">
                  <c:v>722.4</c:v>
                </c:pt>
                <c:pt idx="104">
                  <c:v>722.4</c:v>
                </c:pt>
                <c:pt idx="105">
                  <c:v>722.4</c:v>
                </c:pt>
                <c:pt idx="106">
                  <c:v>722.4</c:v>
                </c:pt>
                <c:pt idx="107">
                  <c:v>722.4</c:v>
                </c:pt>
                <c:pt idx="108">
                  <c:v>722.4</c:v>
                </c:pt>
                <c:pt idx="109">
                  <c:v>722.4</c:v>
                </c:pt>
                <c:pt idx="110">
                  <c:v>722.4</c:v>
                </c:pt>
                <c:pt idx="111">
                  <c:v>722.4</c:v>
                </c:pt>
                <c:pt idx="112">
                  <c:v>722.4</c:v>
                </c:pt>
                <c:pt idx="113">
                  <c:v>722.4</c:v>
                </c:pt>
                <c:pt idx="114">
                  <c:v>722.4</c:v>
                </c:pt>
                <c:pt idx="115">
                  <c:v>591.25</c:v>
                </c:pt>
                <c:pt idx="116">
                  <c:v>591.25</c:v>
                </c:pt>
                <c:pt idx="117">
                  <c:v>577.89</c:v>
                </c:pt>
                <c:pt idx="118">
                  <c:v>577.89</c:v>
                </c:pt>
                <c:pt idx="119">
                  <c:v>577.89</c:v>
                </c:pt>
                <c:pt idx="120">
                  <c:v>577.89</c:v>
                </c:pt>
                <c:pt idx="121">
                  <c:v>577.89</c:v>
                </c:pt>
                <c:pt idx="122">
                  <c:v>577.89</c:v>
                </c:pt>
                <c:pt idx="123">
                  <c:v>566.04</c:v>
                </c:pt>
                <c:pt idx="124">
                  <c:v>532.57000000000005</c:v>
                </c:pt>
                <c:pt idx="125">
                  <c:v>709.93</c:v>
                </c:pt>
                <c:pt idx="126">
                  <c:v>709.93</c:v>
                </c:pt>
                <c:pt idx="127">
                  <c:v>709.67</c:v>
                </c:pt>
                <c:pt idx="128">
                  <c:v>682.09</c:v>
                </c:pt>
                <c:pt idx="129">
                  <c:v>532.57000000000005</c:v>
                </c:pt>
                <c:pt idx="130">
                  <c:v>642.23</c:v>
                </c:pt>
                <c:pt idx="131">
                  <c:v>531.26</c:v>
                </c:pt>
                <c:pt idx="132">
                  <c:v>531.26</c:v>
                </c:pt>
                <c:pt idx="133">
                  <c:v>531.26</c:v>
                </c:pt>
                <c:pt idx="134">
                  <c:v>531.26</c:v>
                </c:pt>
                <c:pt idx="135">
                  <c:v>465.91</c:v>
                </c:pt>
                <c:pt idx="136">
                  <c:v>465.91</c:v>
                </c:pt>
                <c:pt idx="137">
                  <c:v>458.28</c:v>
                </c:pt>
                <c:pt idx="138">
                  <c:v>458.28</c:v>
                </c:pt>
                <c:pt idx="139">
                  <c:v>458.28</c:v>
                </c:pt>
                <c:pt idx="140">
                  <c:v>458.28</c:v>
                </c:pt>
                <c:pt idx="141">
                  <c:v>576.08000000000004</c:v>
                </c:pt>
                <c:pt idx="142">
                  <c:v>566.29999999999995</c:v>
                </c:pt>
                <c:pt idx="143">
                  <c:v>458.28</c:v>
                </c:pt>
                <c:pt idx="144">
                  <c:v>540.51</c:v>
                </c:pt>
                <c:pt idx="145">
                  <c:v>458.28</c:v>
                </c:pt>
                <c:pt idx="146">
                  <c:v>458.28</c:v>
                </c:pt>
                <c:pt idx="147">
                  <c:v>458.28</c:v>
                </c:pt>
                <c:pt idx="148">
                  <c:v>458.28</c:v>
                </c:pt>
                <c:pt idx="149">
                  <c:v>458.28</c:v>
                </c:pt>
                <c:pt idx="150">
                  <c:v>458.28</c:v>
                </c:pt>
                <c:pt idx="151">
                  <c:v>525.08000000000004</c:v>
                </c:pt>
                <c:pt idx="152">
                  <c:v>520.57000000000005</c:v>
                </c:pt>
                <c:pt idx="153">
                  <c:v>514.79</c:v>
                </c:pt>
                <c:pt idx="154">
                  <c:v>514.79</c:v>
                </c:pt>
                <c:pt idx="155">
                  <c:v>511.96</c:v>
                </c:pt>
                <c:pt idx="156">
                  <c:v>510.18</c:v>
                </c:pt>
                <c:pt idx="157">
                  <c:v>458.28</c:v>
                </c:pt>
                <c:pt idx="158">
                  <c:v>458.28</c:v>
                </c:pt>
                <c:pt idx="159">
                  <c:v>458.28</c:v>
                </c:pt>
                <c:pt idx="160">
                  <c:v>458.28</c:v>
                </c:pt>
                <c:pt idx="161">
                  <c:v>458.28</c:v>
                </c:pt>
                <c:pt idx="162">
                  <c:v>458.28</c:v>
                </c:pt>
                <c:pt idx="163">
                  <c:v>458.28</c:v>
                </c:pt>
                <c:pt idx="164">
                  <c:v>457.13</c:v>
                </c:pt>
                <c:pt idx="165">
                  <c:v>453.16</c:v>
                </c:pt>
                <c:pt idx="166">
                  <c:v>447.6</c:v>
                </c:pt>
                <c:pt idx="167">
                  <c:v>437.31</c:v>
                </c:pt>
                <c:pt idx="168">
                  <c:v>411.54</c:v>
                </c:pt>
                <c:pt idx="169">
                  <c:v>358.31</c:v>
                </c:pt>
                <c:pt idx="170">
                  <c:v>358.31</c:v>
                </c:pt>
                <c:pt idx="171">
                  <c:v>463.31</c:v>
                </c:pt>
                <c:pt idx="172">
                  <c:v>463.31</c:v>
                </c:pt>
                <c:pt idx="173">
                  <c:v>463.28</c:v>
                </c:pt>
                <c:pt idx="174">
                  <c:v>463.28</c:v>
                </c:pt>
                <c:pt idx="175">
                  <c:v>463.28</c:v>
                </c:pt>
                <c:pt idx="176">
                  <c:v>463.07</c:v>
                </c:pt>
                <c:pt idx="177">
                  <c:v>462.79</c:v>
                </c:pt>
                <c:pt idx="178">
                  <c:v>460.7</c:v>
                </c:pt>
                <c:pt idx="179">
                  <c:v>460.7</c:v>
                </c:pt>
                <c:pt idx="180">
                  <c:v>358.31</c:v>
                </c:pt>
                <c:pt idx="181">
                  <c:v>459.16</c:v>
                </c:pt>
                <c:pt idx="182">
                  <c:v>358.31</c:v>
                </c:pt>
                <c:pt idx="183">
                  <c:v>358.31</c:v>
                </c:pt>
                <c:pt idx="184">
                  <c:v>358.31</c:v>
                </c:pt>
                <c:pt idx="185">
                  <c:v>358.31</c:v>
                </c:pt>
                <c:pt idx="186">
                  <c:v>358.31</c:v>
                </c:pt>
                <c:pt idx="187">
                  <c:v>358.31</c:v>
                </c:pt>
                <c:pt idx="188">
                  <c:v>358.31</c:v>
                </c:pt>
                <c:pt idx="189">
                  <c:v>333.08</c:v>
                </c:pt>
                <c:pt idx="190">
                  <c:v>317.67</c:v>
                </c:pt>
                <c:pt idx="191">
                  <c:v>298.60000000000002</c:v>
                </c:pt>
                <c:pt idx="192">
                  <c:v>257.38</c:v>
                </c:pt>
                <c:pt idx="193">
                  <c:v>188.94</c:v>
                </c:pt>
                <c:pt idx="194">
                  <c:v>188.94</c:v>
                </c:pt>
                <c:pt idx="195">
                  <c:v>188.94</c:v>
                </c:pt>
                <c:pt idx="196">
                  <c:v>188.94</c:v>
                </c:pt>
                <c:pt idx="197">
                  <c:v>188.94</c:v>
                </c:pt>
                <c:pt idx="198">
                  <c:v>160.57</c:v>
                </c:pt>
                <c:pt idx="199">
                  <c:v>160.57</c:v>
                </c:pt>
                <c:pt idx="200">
                  <c:v>160.57</c:v>
                </c:pt>
                <c:pt idx="201">
                  <c:v>160.57</c:v>
                </c:pt>
                <c:pt idx="202">
                  <c:v>160.57</c:v>
                </c:pt>
                <c:pt idx="203">
                  <c:v>437.85</c:v>
                </c:pt>
                <c:pt idx="204">
                  <c:v>437.57</c:v>
                </c:pt>
                <c:pt idx="205">
                  <c:v>437.33</c:v>
                </c:pt>
                <c:pt idx="206">
                  <c:v>160.57</c:v>
                </c:pt>
                <c:pt idx="207">
                  <c:v>431.4</c:v>
                </c:pt>
                <c:pt idx="208">
                  <c:v>424.72</c:v>
                </c:pt>
                <c:pt idx="209">
                  <c:v>424.72</c:v>
                </c:pt>
                <c:pt idx="210">
                  <c:v>160.57</c:v>
                </c:pt>
                <c:pt idx="211">
                  <c:v>422.92</c:v>
                </c:pt>
                <c:pt idx="212">
                  <c:v>411.77</c:v>
                </c:pt>
                <c:pt idx="213">
                  <c:v>160.57</c:v>
                </c:pt>
                <c:pt idx="214">
                  <c:v>411.57</c:v>
                </c:pt>
                <c:pt idx="215">
                  <c:v>411.57</c:v>
                </c:pt>
                <c:pt idx="216">
                  <c:v>411.57</c:v>
                </c:pt>
                <c:pt idx="217">
                  <c:v>160.57</c:v>
                </c:pt>
                <c:pt idx="218">
                  <c:v>406.7</c:v>
                </c:pt>
                <c:pt idx="219">
                  <c:v>406.67</c:v>
                </c:pt>
                <c:pt idx="220">
                  <c:v>160.57</c:v>
                </c:pt>
                <c:pt idx="221">
                  <c:v>160.57</c:v>
                </c:pt>
                <c:pt idx="222">
                  <c:v>160.57</c:v>
                </c:pt>
                <c:pt idx="223">
                  <c:v>398.72</c:v>
                </c:pt>
                <c:pt idx="224">
                  <c:v>397.93</c:v>
                </c:pt>
                <c:pt idx="225">
                  <c:v>394.14</c:v>
                </c:pt>
                <c:pt idx="226">
                  <c:v>394.14</c:v>
                </c:pt>
                <c:pt idx="227">
                  <c:v>385.85</c:v>
                </c:pt>
                <c:pt idx="228">
                  <c:v>380.7</c:v>
                </c:pt>
                <c:pt idx="229">
                  <c:v>378.36</c:v>
                </c:pt>
                <c:pt idx="230">
                  <c:v>377.04</c:v>
                </c:pt>
                <c:pt idx="231">
                  <c:v>372.73</c:v>
                </c:pt>
                <c:pt idx="232">
                  <c:v>370.13</c:v>
                </c:pt>
                <c:pt idx="233">
                  <c:v>160.57</c:v>
                </c:pt>
                <c:pt idx="234">
                  <c:v>160.57</c:v>
                </c:pt>
                <c:pt idx="235">
                  <c:v>160.57</c:v>
                </c:pt>
                <c:pt idx="236">
                  <c:v>363.15</c:v>
                </c:pt>
                <c:pt idx="237">
                  <c:v>160.57</c:v>
                </c:pt>
                <c:pt idx="238">
                  <c:v>160.57</c:v>
                </c:pt>
                <c:pt idx="239">
                  <c:v>160.57</c:v>
                </c:pt>
                <c:pt idx="240">
                  <c:v>160.57</c:v>
                </c:pt>
                <c:pt idx="241">
                  <c:v>30.84</c:v>
                </c:pt>
                <c:pt idx="242">
                  <c:v>30.84</c:v>
                </c:pt>
                <c:pt idx="243">
                  <c:v>22.86</c:v>
                </c:pt>
                <c:pt idx="244">
                  <c:v>1544.42</c:v>
                </c:pt>
                <c:pt idx="245">
                  <c:v>1133.3599999999999</c:v>
                </c:pt>
                <c:pt idx="246">
                  <c:v>359.6</c:v>
                </c:pt>
                <c:pt idx="247">
                  <c:v>1133.3599999999999</c:v>
                </c:pt>
                <c:pt idx="248">
                  <c:v>900.64</c:v>
                </c:pt>
                <c:pt idx="249">
                  <c:v>900.64</c:v>
                </c:pt>
                <c:pt idx="250">
                  <c:v>900.64</c:v>
                </c:pt>
                <c:pt idx="251">
                  <c:v>771.94</c:v>
                </c:pt>
                <c:pt idx="252">
                  <c:v>717.39</c:v>
                </c:pt>
                <c:pt idx="253">
                  <c:v>717.39</c:v>
                </c:pt>
                <c:pt idx="254">
                  <c:v>717.39</c:v>
                </c:pt>
                <c:pt idx="255">
                  <c:v>643.23</c:v>
                </c:pt>
                <c:pt idx="256">
                  <c:v>588.91999999999996</c:v>
                </c:pt>
                <c:pt idx="257">
                  <c:v>356.25</c:v>
                </c:pt>
                <c:pt idx="258">
                  <c:v>351.1</c:v>
                </c:pt>
                <c:pt idx="259">
                  <c:v>347.49</c:v>
                </c:pt>
                <c:pt idx="260">
                  <c:v>347.24</c:v>
                </c:pt>
                <c:pt idx="261">
                  <c:v>334.11</c:v>
                </c:pt>
                <c:pt idx="262">
                  <c:v>334.11</c:v>
                </c:pt>
                <c:pt idx="263">
                  <c:v>334.11</c:v>
                </c:pt>
                <c:pt idx="264">
                  <c:v>579.14</c:v>
                </c:pt>
                <c:pt idx="265">
                  <c:v>321.73</c:v>
                </c:pt>
                <c:pt idx="266">
                  <c:v>503.09</c:v>
                </c:pt>
                <c:pt idx="267">
                  <c:v>503.09</c:v>
                </c:pt>
                <c:pt idx="268">
                  <c:v>308.86</c:v>
                </c:pt>
                <c:pt idx="269">
                  <c:v>308.63</c:v>
                </c:pt>
                <c:pt idx="270">
                  <c:v>308.63</c:v>
                </c:pt>
                <c:pt idx="271">
                  <c:v>308.61</c:v>
                </c:pt>
                <c:pt idx="272">
                  <c:v>308.61</c:v>
                </c:pt>
                <c:pt idx="273">
                  <c:v>308.61</c:v>
                </c:pt>
                <c:pt idx="274">
                  <c:v>308.61</c:v>
                </c:pt>
                <c:pt idx="275">
                  <c:v>308.45</c:v>
                </c:pt>
                <c:pt idx="276">
                  <c:v>308.45</c:v>
                </c:pt>
                <c:pt idx="277">
                  <c:v>308.45</c:v>
                </c:pt>
                <c:pt idx="278">
                  <c:v>488.8</c:v>
                </c:pt>
                <c:pt idx="279">
                  <c:v>488.8</c:v>
                </c:pt>
                <c:pt idx="280">
                  <c:v>303.74</c:v>
                </c:pt>
                <c:pt idx="281">
                  <c:v>488.8</c:v>
                </c:pt>
                <c:pt idx="282">
                  <c:v>298.83</c:v>
                </c:pt>
                <c:pt idx="283">
                  <c:v>488.8</c:v>
                </c:pt>
                <c:pt idx="284">
                  <c:v>293.7</c:v>
                </c:pt>
                <c:pt idx="285">
                  <c:v>293.69</c:v>
                </c:pt>
                <c:pt idx="286">
                  <c:v>488.8</c:v>
                </c:pt>
                <c:pt idx="287">
                  <c:v>488.8</c:v>
                </c:pt>
                <c:pt idx="288">
                  <c:v>488.8</c:v>
                </c:pt>
                <c:pt idx="289">
                  <c:v>283.12</c:v>
                </c:pt>
                <c:pt idx="290">
                  <c:v>283.08999999999997</c:v>
                </c:pt>
                <c:pt idx="291">
                  <c:v>282.89</c:v>
                </c:pt>
                <c:pt idx="292">
                  <c:v>281.70999999999998</c:v>
                </c:pt>
                <c:pt idx="293">
                  <c:v>280.57</c:v>
                </c:pt>
                <c:pt idx="294">
                  <c:v>276.49</c:v>
                </c:pt>
                <c:pt idx="295">
                  <c:v>488.8</c:v>
                </c:pt>
                <c:pt idx="296">
                  <c:v>488.8</c:v>
                </c:pt>
                <c:pt idx="297">
                  <c:v>488.8</c:v>
                </c:pt>
                <c:pt idx="298">
                  <c:v>460.5</c:v>
                </c:pt>
                <c:pt idx="299">
                  <c:v>424.7</c:v>
                </c:pt>
                <c:pt idx="300">
                  <c:v>411.59</c:v>
                </c:pt>
                <c:pt idx="301">
                  <c:v>399.26</c:v>
                </c:pt>
                <c:pt idx="302">
                  <c:v>398.95</c:v>
                </c:pt>
                <c:pt idx="303">
                  <c:v>398.95</c:v>
                </c:pt>
                <c:pt idx="304">
                  <c:v>369.45</c:v>
                </c:pt>
                <c:pt idx="305">
                  <c:v>369.45</c:v>
                </c:pt>
                <c:pt idx="306">
                  <c:v>369.45</c:v>
                </c:pt>
                <c:pt idx="307">
                  <c:v>362.29</c:v>
                </c:pt>
                <c:pt idx="308">
                  <c:v>362.29</c:v>
                </c:pt>
                <c:pt idx="309">
                  <c:v>362.29</c:v>
                </c:pt>
                <c:pt idx="310">
                  <c:v>272.8</c:v>
                </c:pt>
                <c:pt idx="311">
                  <c:v>272.54000000000002</c:v>
                </c:pt>
                <c:pt idx="312">
                  <c:v>269.77999999999997</c:v>
                </c:pt>
                <c:pt idx="313">
                  <c:v>269.77999999999997</c:v>
                </c:pt>
                <c:pt idx="314">
                  <c:v>269.77999999999997</c:v>
                </c:pt>
                <c:pt idx="315">
                  <c:v>267.95999999999998</c:v>
                </c:pt>
                <c:pt idx="316">
                  <c:v>266</c:v>
                </c:pt>
                <c:pt idx="317">
                  <c:v>265.39</c:v>
                </c:pt>
                <c:pt idx="318">
                  <c:v>262.3</c:v>
                </c:pt>
                <c:pt idx="319">
                  <c:v>362.29</c:v>
                </c:pt>
                <c:pt idx="320">
                  <c:v>260.52999999999997</c:v>
                </c:pt>
                <c:pt idx="321">
                  <c:v>362.29</c:v>
                </c:pt>
                <c:pt idx="322">
                  <c:v>362.29</c:v>
                </c:pt>
                <c:pt idx="323">
                  <c:v>257.38</c:v>
                </c:pt>
                <c:pt idx="324">
                  <c:v>257.38</c:v>
                </c:pt>
                <c:pt idx="325">
                  <c:v>257.14999999999998</c:v>
                </c:pt>
                <c:pt idx="326">
                  <c:v>257.14999999999998</c:v>
                </c:pt>
                <c:pt idx="327">
                  <c:v>257.12</c:v>
                </c:pt>
                <c:pt idx="328">
                  <c:v>256.74</c:v>
                </c:pt>
                <c:pt idx="329">
                  <c:v>256.74</c:v>
                </c:pt>
                <c:pt idx="330">
                  <c:v>254.78</c:v>
                </c:pt>
                <c:pt idx="331">
                  <c:v>254.71</c:v>
                </c:pt>
                <c:pt idx="332">
                  <c:v>252.23</c:v>
                </c:pt>
                <c:pt idx="333">
                  <c:v>252.23</c:v>
                </c:pt>
                <c:pt idx="334">
                  <c:v>252.23</c:v>
                </c:pt>
                <c:pt idx="335">
                  <c:v>251.95</c:v>
                </c:pt>
                <c:pt idx="336">
                  <c:v>244.02</c:v>
                </c:pt>
                <c:pt idx="337">
                  <c:v>243.96</c:v>
                </c:pt>
                <c:pt idx="338">
                  <c:v>362.29</c:v>
                </c:pt>
                <c:pt idx="339">
                  <c:v>362.29</c:v>
                </c:pt>
                <c:pt idx="340">
                  <c:v>362.29</c:v>
                </c:pt>
                <c:pt idx="341">
                  <c:v>313.77999999999997</c:v>
                </c:pt>
                <c:pt idx="342">
                  <c:v>306.05</c:v>
                </c:pt>
                <c:pt idx="343">
                  <c:v>306.05</c:v>
                </c:pt>
                <c:pt idx="344">
                  <c:v>301.08</c:v>
                </c:pt>
                <c:pt idx="345">
                  <c:v>290.82</c:v>
                </c:pt>
                <c:pt idx="346">
                  <c:v>290.82</c:v>
                </c:pt>
                <c:pt idx="347">
                  <c:v>290.82</c:v>
                </c:pt>
                <c:pt idx="348">
                  <c:v>275.25</c:v>
                </c:pt>
                <c:pt idx="349">
                  <c:v>275.25</c:v>
                </c:pt>
                <c:pt idx="350">
                  <c:v>275.25</c:v>
                </c:pt>
                <c:pt idx="351">
                  <c:v>275.25</c:v>
                </c:pt>
                <c:pt idx="352">
                  <c:v>275.25</c:v>
                </c:pt>
                <c:pt idx="353">
                  <c:v>275.25</c:v>
                </c:pt>
                <c:pt idx="354">
                  <c:v>275.25</c:v>
                </c:pt>
                <c:pt idx="355">
                  <c:v>275.25</c:v>
                </c:pt>
                <c:pt idx="356">
                  <c:v>275.25</c:v>
                </c:pt>
                <c:pt idx="357">
                  <c:v>275.25</c:v>
                </c:pt>
                <c:pt idx="358">
                  <c:v>275.25</c:v>
                </c:pt>
                <c:pt idx="359">
                  <c:v>275.25</c:v>
                </c:pt>
                <c:pt idx="360">
                  <c:v>275.25</c:v>
                </c:pt>
                <c:pt idx="361">
                  <c:v>273.56</c:v>
                </c:pt>
                <c:pt idx="362">
                  <c:v>273.56</c:v>
                </c:pt>
                <c:pt idx="363">
                  <c:v>261.64999999999998</c:v>
                </c:pt>
                <c:pt idx="364">
                  <c:v>257.87</c:v>
                </c:pt>
                <c:pt idx="365">
                  <c:v>242.72</c:v>
                </c:pt>
                <c:pt idx="366">
                  <c:v>242.72</c:v>
                </c:pt>
                <c:pt idx="367">
                  <c:v>242.72</c:v>
                </c:pt>
                <c:pt idx="368">
                  <c:v>242.72</c:v>
                </c:pt>
                <c:pt idx="369">
                  <c:v>242.72</c:v>
                </c:pt>
                <c:pt idx="370">
                  <c:v>239.36</c:v>
                </c:pt>
                <c:pt idx="371">
                  <c:v>234.5</c:v>
                </c:pt>
                <c:pt idx="372">
                  <c:v>231.64</c:v>
                </c:pt>
                <c:pt idx="373">
                  <c:v>231.64</c:v>
                </c:pt>
                <c:pt idx="374">
                  <c:v>231.64</c:v>
                </c:pt>
                <c:pt idx="375">
                  <c:v>231.64</c:v>
                </c:pt>
                <c:pt idx="376">
                  <c:v>231.64</c:v>
                </c:pt>
                <c:pt idx="377">
                  <c:v>230.93</c:v>
                </c:pt>
                <c:pt idx="378">
                  <c:v>230.93</c:v>
                </c:pt>
                <c:pt idx="379">
                  <c:v>230.93</c:v>
                </c:pt>
                <c:pt idx="380">
                  <c:v>230.93</c:v>
                </c:pt>
                <c:pt idx="381">
                  <c:v>230.93</c:v>
                </c:pt>
                <c:pt idx="382">
                  <c:v>242.72</c:v>
                </c:pt>
                <c:pt idx="383">
                  <c:v>242.63</c:v>
                </c:pt>
                <c:pt idx="384">
                  <c:v>242.63</c:v>
                </c:pt>
                <c:pt idx="385">
                  <c:v>242.63</c:v>
                </c:pt>
                <c:pt idx="386">
                  <c:v>242.63</c:v>
                </c:pt>
                <c:pt idx="387">
                  <c:v>242.63</c:v>
                </c:pt>
                <c:pt idx="388">
                  <c:v>242.63</c:v>
                </c:pt>
                <c:pt idx="389">
                  <c:v>242.63</c:v>
                </c:pt>
                <c:pt idx="390">
                  <c:v>242.63</c:v>
                </c:pt>
                <c:pt idx="391">
                  <c:v>242.63</c:v>
                </c:pt>
                <c:pt idx="392">
                  <c:v>228.76</c:v>
                </c:pt>
                <c:pt idx="393">
                  <c:v>228.47</c:v>
                </c:pt>
                <c:pt idx="394">
                  <c:v>227.03</c:v>
                </c:pt>
                <c:pt idx="395">
                  <c:v>225.83</c:v>
                </c:pt>
                <c:pt idx="396">
                  <c:v>224.6</c:v>
                </c:pt>
                <c:pt idx="397">
                  <c:v>242.63</c:v>
                </c:pt>
                <c:pt idx="398">
                  <c:v>242.63</c:v>
                </c:pt>
                <c:pt idx="399">
                  <c:v>242.63</c:v>
                </c:pt>
                <c:pt idx="400">
                  <c:v>242.63</c:v>
                </c:pt>
                <c:pt idx="401">
                  <c:v>242.63</c:v>
                </c:pt>
                <c:pt idx="402">
                  <c:v>223.17</c:v>
                </c:pt>
                <c:pt idx="403">
                  <c:v>218.77</c:v>
                </c:pt>
                <c:pt idx="404">
                  <c:v>218.77</c:v>
                </c:pt>
                <c:pt idx="405">
                  <c:v>218.77</c:v>
                </c:pt>
                <c:pt idx="406">
                  <c:v>218.54</c:v>
                </c:pt>
                <c:pt idx="407">
                  <c:v>215.19</c:v>
                </c:pt>
                <c:pt idx="408">
                  <c:v>212.33</c:v>
                </c:pt>
                <c:pt idx="409">
                  <c:v>212.1</c:v>
                </c:pt>
                <c:pt idx="410">
                  <c:v>212.08</c:v>
                </c:pt>
                <c:pt idx="411">
                  <c:v>212.08</c:v>
                </c:pt>
                <c:pt idx="412">
                  <c:v>212.08</c:v>
                </c:pt>
                <c:pt idx="413">
                  <c:v>212.08</c:v>
                </c:pt>
                <c:pt idx="414">
                  <c:v>212.08</c:v>
                </c:pt>
                <c:pt idx="415">
                  <c:v>212.08</c:v>
                </c:pt>
                <c:pt idx="416">
                  <c:v>211.92</c:v>
                </c:pt>
                <c:pt idx="417">
                  <c:v>211.92</c:v>
                </c:pt>
                <c:pt idx="418">
                  <c:v>211.92</c:v>
                </c:pt>
                <c:pt idx="419">
                  <c:v>210.79</c:v>
                </c:pt>
                <c:pt idx="420">
                  <c:v>209.79</c:v>
                </c:pt>
                <c:pt idx="421">
                  <c:v>206.96</c:v>
                </c:pt>
                <c:pt idx="422">
                  <c:v>205.67</c:v>
                </c:pt>
                <c:pt idx="423">
                  <c:v>205.67</c:v>
                </c:pt>
                <c:pt idx="424">
                  <c:v>205.67</c:v>
                </c:pt>
                <c:pt idx="425">
                  <c:v>205.67</c:v>
                </c:pt>
                <c:pt idx="426">
                  <c:v>204.64</c:v>
                </c:pt>
                <c:pt idx="427">
                  <c:v>203.35</c:v>
                </c:pt>
                <c:pt idx="428">
                  <c:v>203.09</c:v>
                </c:pt>
                <c:pt idx="429">
                  <c:v>203.09</c:v>
                </c:pt>
                <c:pt idx="430">
                  <c:v>203.09</c:v>
                </c:pt>
                <c:pt idx="431">
                  <c:v>203.09</c:v>
                </c:pt>
                <c:pt idx="432">
                  <c:v>203.09</c:v>
                </c:pt>
                <c:pt idx="433">
                  <c:v>203.09</c:v>
                </c:pt>
                <c:pt idx="434">
                  <c:v>203.09</c:v>
                </c:pt>
                <c:pt idx="435">
                  <c:v>203.09</c:v>
                </c:pt>
                <c:pt idx="436">
                  <c:v>203.09</c:v>
                </c:pt>
                <c:pt idx="437">
                  <c:v>203.09</c:v>
                </c:pt>
                <c:pt idx="438">
                  <c:v>200.66</c:v>
                </c:pt>
                <c:pt idx="439">
                  <c:v>195.35</c:v>
                </c:pt>
                <c:pt idx="440">
                  <c:v>242.63</c:v>
                </c:pt>
                <c:pt idx="441">
                  <c:v>242.63</c:v>
                </c:pt>
                <c:pt idx="442">
                  <c:v>242.63</c:v>
                </c:pt>
                <c:pt idx="443">
                  <c:v>242.63</c:v>
                </c:pt>
                <c:pt idx="444">
                  <c:v>242.63</c:v>
                </c:pt>
                <c:pt idx="445">
                  <c:v>242.63</c:v>
                </c:pt>
                <c:pt idx="446">
                  <c:v>194.6</c:v>
                </c:pt>
                <c:pt idx="447">
                  <c:v>242.63</c:v>
                </c:pt>
                <c:pt idx="448">
                  <c:v>193.03</c:v>
                </c:pt>
                <c:pt idx="449">
                  <c:v>192.8</c:v>
                </c:pt>
                <c:pt idx="450">
                  <c:v>192.8</c:v>
                </c:pt>
                <c:pt idx="451">
                  <c:v>189.97</c:v>
                </c:pt>
                <c:pt idx="452">
                  <c:v>189.97</c:v>
                </c:pt>
                <c:pt idx="453">
                  <c:v>189.97</c:v>
                </c:pt>
                <c:pt idx="454">
                  <c:v>189.97</c:v>
                </c:pt>
                <c:pt idx="455">
                  <c:v>189.97</c:v>
                </c:pt>
                <c:pt idx="456">
                  <c:v>189.97</c:v>
                </c:pt>
                <c:pt idx="457">
                  <c:v>189.97</c:v>
                </c:pt>
                <c:pt idx="458">
                  <c:v>189.97</c:v>
                </c:pt>
                <c:pt idx="459">
                  <c:v>189.97</c:v>
                </c:pt>
                <c:pt idx="460">
                  <c:v>189.97</c:v>
                </c:pt>
                <c:pt idx="461">
                  <c:v>189.97</c:v>
                </c:pt>
                <c:pt idx="462">
                  <c:v>242.63</c:v>
                </c:pt>
                <c:pt idx="463">
                  <c:v>242.63</c:v>
                </c:pt>
                <c:pt idx="464">
                  <c:v>242.63</c:v>
                </c:pt>
                <c:pt idx="465">
                  <c:v>242.63</c:v>
                </c:pt>
                <c:pt idx="466">
                  <c:v>242.63</c:v>
                </c:pt>
                <c:pt idx="467">
                  <c:v>186.11</c:v>
                </c:pt>
                <c:pt idx="468">
                  <c:v>185.85</c:v>
                </c:pt>
                <c:pt idx="469">
                  <c:v>180.16</c:v>
                </c:pt>
                <c:pt idx="470">
                  <c:v>180.16</c:v>
                </c:pt>
                <c:pt idx="471">
                  <c:v>180.16</c:v>
                </c:pt>
                <c:pt idx="472">
                  <c:v>179.41</c:v>
                </c:pt>
                <c:pt idx="473">
                  <c:v>179.12</c:v>
                </c:pt>
                <c:pt idx="474">
                  <c:v>178.9</c:v>
                </c:pt>
                <c:pt idx="475">
                  <c:v>178.87</c:v>
                </c:pt>
                <c:pt idx="476">
                  <c:v>178.87</c:v>
                </c:pt>
                <c:pt idx="477">
                  <c:v>178.87</c:v>
                </c:pt>
                <c:pt idx="478">
                  <c:v>178.87</c:v>
                </c:pt>
                <c:pt idx="479">
                  <c:v>178.87</c:v>
                </c:pt>
                <c:pt idx="480">
                  <c:v>177.27</c:v>
                </c:pt>
                <c:pt idx="481">
                  <c:v>177.27</c:v>
                </c:pt>
                <c:pt idx="482">
                  <c:v>177.27</c:v>
                </c:pt>
                <c:pt idx="483">
                  <c:v>177.27</c:v>
                </c:pt>
                <c:pt idx="484">
                  <c:v>177.27</c:v>
                </c:pt>
                <c:pt idx="485">
                  <c:v>176.04</c:v>
                </c:pt>
                <c:pt idx="486">
                  <c:v>175.04</c:v>
                </c:pt>
                <c:pt idx="487">
                  <c:v>175.01</c:v>
                </c:pt>
                <c:pt idx="488">
                  <c:v>172.46</c:v>
                </c:pt>
                <c:pt idx="489">
                  <c:v>172.46</c:v>
                </c:pt>
                <c:pt idx="490">
                  <c:v>229.9</c:v>
                </c:pt>
                <c:pt idx="491">
                  <c:v>229.9</c:v>
                </c:pt>
                <c:pt idx="492">
                  <c:v>229.9</c:v>
                </c:pt>
                <c:pt idx="493">
                  <c:v>229.9</c:v>
                </c:pt>
                <c:pt idx="494">
                  <c:v>229.9</c:v>
                </c:pt>
                <c:pt idx="495">
                  <c:v>229.9</c:v>
                </c:pt>
                <c:pt idx="496">
                  <c:v>229.9</c:v>
                </c:pt>
                <c:pt idx="497">
                  <c:v>229.9</c:v>
                </c:pt>
                <c:pt idx="498">
                  <c:v>229.9</c:v>
                </c:pt>
                <c:pt idx="499">
                  <c:v>229.9</c:v>
                </c:pt>
                <c:pt idx="500">
                  <c:v>223.95</c:v>
                </c:pt>
                <c:pt idx="501">
                  <c:v>223.95</c:v>
                </c:pt>
                <c:pt idx="502">
                  <c:v>223.95</c:v>
                </c:pt>
                <c:pt idx="503">
                  <c:v>223.95</c:v>
                </c:pt>
                <c:pt idx="504">
                  <c:v>223.95</c:v>
                </c:pt>
                <c:pt idx="505">
                  <c:v>195.06</c:v>
                </c:pt>
                <c:pt idx="506">
                  <c:v>195.06</c:v>
                </c:pt>
                <c:pt idx="507">
                  <c:v>195.06</c:v>
                </c:pt>
                <c:pt idx="508">
                  <c:v>171.17</c:v>
                </c:pt>
                <c:pt idx="509">
                  <c:v>169.81</c:v>
                </c:pt>
                <c:pt idx="510">
                  <c:v>169.63</c:v>
                </c:pt>
                <c:pt idx="511">
                  <c:v>169.63</c:v>
                </c:pt>
                <c:pt idx="512">
                  <c:v>169.37</c:v>
                </c:pt>
                <c:pt idx="513">
                  <c:v>168.86</c:v>
                </c:pt>
                <c:pt idx="514">
                  <c:v>167.31</c:v>
                </c:pt>
                <c:pt idx="515">
                  <c:v>167.29</c:v>
                </c:pt>
                <c:pt idx="516">
                  <c:v>167.11</c:v>
                </c:pt>
                <c:pt idx="517">
                  <c:v>167.06</c:v>
                </c:pt>
                <c:pt idx="518">
                  <c:v>167.06</c:v>
                </c:pt>
                <c:pt idx="519">
                  <c:v>166.41</c:v>
                </c:pt>
                <c:pt idx="520">
                  <c:v>164.95</c:v>
                </c:pt>
                <c:pt idx="521">
                  <c:v>164.95</c:v>
                </c:pt>
                <c:pt idx="522">
                  <c:v>164.95</c:v>
                </c:pt>
                <c:pt idx="523">
                  <c:v>164.95</c:v>
                </c:pt>
                <c:pt idx="524">
                  <c:v>164.95</c:v>
                </c:pt>
                <c:pt idx="525">
                  <c:v>164.71</c:v>
                </c:pt>
                <c:pt idx="526">
                  <c:v>195.06</c:v>
                </c:pt>
                <c:pt idx="527">
                  <c:v>195.06</c:v>
                </c:pt>
                <c:pt idx="528">
                  <c:v>195.06</c:v>
                </c:pt>
                <c:pt idx="529">
                  <c:v>193.26</c:v>
                </c:pt>
                <c:pt idx="530">
                  <c:v>172.23</c:v>
                </c:pt>
                <c:pt idx="531">
                  <c:v>172.23</c:v>
                </c:pt>
                <c:pt idx="532">
                  <c:v>172.23</c:v>
                </c:pt>
                <c:pt idx="533">
                  <c:v>172.23</c:v>
                </c:pt>
                <c:pt idx="534">
                  <c:v>172.23</c:v>
                </c:pt>
                <c:pt idx="535">
                  <c:v>172.23</c:v>
                </c:pt>
                <c:pt idx="536">
                  <c:v>172.23</c:v>
                </c:pt>
                <c:pt idx="537">
                  <c:v>172.23</c:v>
                </c:pt>
                <c:pt idx="538">
                  <c:v>172.23</c:v>
                </c:pt>
                <c:pt idx="539">
                  <c:v>172.23</c:v>
                </c:pt>
                <c:pt idx="540">
                  <c:v>172.23</c:v>
                </c:pt>
                <c:pt idx="541">
                  <c:v>172.23</c:v>
                </c:pt>
                <c:pt idx="542">
                  <c:v>172.23</c:v>
                </c:pt>
                <c:pt idx="543">
                  <c:v>172.23</c:v>
                </c:pt>
                <c:pt idx="544">
                  <c:v>172.23</c:v>
                </c:pt>
                <c:pt idx="545">
                  <c:v>158.05000000000001</c:v>
                </c:pt>
                <c:pt idx="546">
                  <c:v>154.44</c:v>
                </c:pt>
                <c:pt idx="547">
                  <c:v>154.19</c:v>
                </c:pt>
                <c:pt idx="548">
                  <c:v>154.19</c:v>
                </c:pt>
                <c:pt idx="549">
                  <c:v>154.16</c:v>
                </c:pt>
                <c:pt idx="550">
                  <c:v>172.23</c:v>
                </c:pt>
                <c:pt idx="551">
                  <c:v>151.1</c:v>
                </c:pt>
                <c:pt idx="552">
                  <c:v>150.97</c:v>
                </c:pt>
                <c:pt idx="553">
                  <c:v>150.97</c:v>
                </c:pt>
                <c:pt idx="554">
                  <c:v>150.97</c:v>
                </c:pt>
                <c:pt idx="555">
                  <c:v>150.94999999999999</c:v>
                </c:pt>
                <c:pt idx="556">
                  <c:v>150.04</c:v>
                </c:pt>
                <c:pt idx="557">
                  <c:v>146.85</c:v>
                </c:pt>
                <c:pt idx="558">
                  <c:v>145.36000000000001</c:v>
                </c:pt>
                <c:pt idx="559">
                  <c:v>144.12</c:v>
                </c:pt>
                <c:pt idx="560">
                  <c:v>142.84</c:v>
                </c:pt>
                <c:pt idx="561">
                  <c:v>141.55000000000001</c:v>
                </c:pt>
                <c:pt idx="562">
                  <c:v>140.82</c:v>
                </c:pt>
                <c:pt idx="563">
                  <c:v>172.23</c:v>
                </c:pt>
                <c:pt idx="564">
                  <c:v>172.22</c:v>
                </c:pt>
                <c:pt idx="565">
                  <c:v>154.16</c:v>
                </c:pt>
                <c:pt idx="566">
                  <c:v>139.68</c:v>
                </c:pt>
                <c:pt idx="567">
                  <c:v>139.68</c:v>
                </c:pt>
                <c:pt idx="568">
                  <c:v>139.68</c:v>
                </c:pt>
                <c:pt idx="569">
                  <c:v>139.68</c:v>
                </c:pt>
                <c:pt idx="570">
                  <c:v>139.68</c:v>
                </c:pt>
                <c:pt idx="571">
                  <c:v>139.68</c:v>
                </c:pt>
                <c:pt idx="572">
                  <c:v>139.68</c:v>
                </c:pt>
                <c:pt idx="573">
                  <c:v>139.68</c:v>
                </c:pt>
                <c:pt idx="574">
                  <c:v>139.68</c:v>
                </c:pt>
                <c:pt idx="575">
                  <c:v>139.68</c:v>
                </c:pt>
                <c:pt idx="576">
                  <c:v>139.63999999999999</c:v>
                </c:pt>
                <c:pt idx="577">
                  <c:v>139.63999999999999</c:v>
                </c:pt>
                <c:pt idx="578">
                  <c:v>138.71</c:v>
                </c:pt>
                <c:pt idx="579">
                  <c:v>138.71</c:v>
                </c:pt>
                <c:pt idx="580">
                  <c:v>137.18</c:v>
                </c:pt>
                <c:pt idx="581">
                  <c:v>136.16999999999999</c:v>
                </c:pt>
                <c:pt idx="582">
                  <c:v>135.01</c:v>
                </c:pt>
                <c:pt idx="583">
                  <c:v>135.01</c:v>
                </c:pt>
                <c:pt idx="584">
                  <c:v>133.83000000000001</c:v>
                </c:pt>
                <c:pt idx="585">
                  <c:v>139.63999999999999</c:v>
                </c:pt>
                <c:pt idx="586">
                  <c:v>139.63999999999999</c:v>
                </c:pt>
                <c:pt idx="587">
                  <c:v>139.63999999999999</c:v>
                </c:pt>
                <c:pt idx="588">
                  <c:v>128.68</c:v>
                </c:pt>
                <c:pt idx="589">
                  <c:v>128.68</c:v>
                </c:pt>
                <c:pt idx="590">
                  <c:v>131.53</c:v>
                </c:pt>
                <c:pt idx="591">
                  <c:v>131.53</c:v>
                </c:pt>
                <c:pt idx="592">
                  <c:v>131.53</c:v>
                </c:pt>
                <c:pt idx="593">
                  <c:v>128.41999999999999</c:v>
                </c:pt>
                <c:pt idx="594">
                  <c:v>128.41999999999999</c:v>
                </c:pt>
                <c:pt idx="595">
                  <c:v>128.41999999999999</c:v>
                </c:pt>
                <c:pt idx="596">
                  <c:v>128.41999999999999</c:v>
                </c:pt>
                <c:pt idx="597">
                  <c:v>128.41999999999999</c:v>
                </c:pt>
                <c:pt idx="598">
                  <c:v>128.41999999999999</c:v>
                </c:pt>
                <c:pt idx="599">
                  <c:v>128.41999999999999</c:v>
                </c:pt>
                <c:pt idx="600">
                  <c:v>128.41999999999999</c:v>
                </c:pt>
                <c:pt idx="601">
                  <c:v>128.41999999999999</c:v>
                </c:pt>
                <c:pt idx="602">
                  <c:v>128.41999999999999</c:v>
                </c:pt>
                <c:pt idx="603">
                  <c:v>128.41999999999999</c:v>
                </c:pt>
                <c:pt idx="604">
                  <c:v>128.41999999999999</c:v>
                </c:pt>
                <c:pt idx="605">
                  <c:v>128.41999999999999</c:v>
                </c:pt>
                <c:pt idx="606">
                  <c:v>128.41999999999999</c:v>
                </c:pt>
                <c:pt idx="607">
                  <c:v>128.41999999999999</c:v>
                </c:pt>
                <c:pt idx="608">
                  <c:v>128.41999999999999</c:v>
                </c:pt>
                <c:pt idx="609">
                  <c:v>128.41999999999999</c:v>
                </c:pt>
                <c:pt idx="610">
                  <c:v>128.41999999999999</c:v>
                </c:pt>
                <c:pt idx="611">
                  <c:v>128.41999999999999</c:v>
                </c:pt>
                <c:pt idx="612">
                  <c:v>128.41999999999999</c:v>
                </c:pt>
                <c:pt idx="613">
                  <c:v>128.41999999999999</c:v>
                </c:pt>
                <c:pt idx="614">
                  <c:v>128.41999999999999</c:v>
                </c:pt>
                <c:pt idx="615">
                  <c:v>128.41999999999999</c:v>
                </c:pt>
                <c:pt idx="616">
                  <c:v>128.41999999999999</c:v>
                </c:pt>
                <c:pt idx="617">
                  <c:v>128.41999999999999</c:v>
                </c:pt>
                <c:pt idx="618">
                  <c:v>128.41999999999999</c:v>
                </c:pt>
                <c:pt idx="619">
                  <c:v>128.41999999999999</c:v>
                </c:pt>
                <c:pt idx="620">
                  <c:v>128.41999999999999</c:v>
                </c:pt>
                <c:pt idx="621">
                  <c:v>128.41999999999999</c:v>
                </c:pt>
                <c:pt idx="622">
                  <c:v>128.41999999999999</c:v>
                </c:pt>
                <c:pt idx="623">
                  <c:v>128.41999999999999</c:v>
                </c:pt>
                <c:pt idx="624">
                  <c:v>128.41999999999999</c:v>
                </c:pt>
                <c:pt idx="625">
                  <c:v>128.41999999999999</c:v>
                </c:pt>
                <c:pt idx="626">
                  <c:v>128.41999999999999</c:v>
                </c:pt>
                <c:pt idx="627">
                  <c:v>128.41999999999999</c:v>
                </c:pt>
                <c:pt idx="628">
                  <c:v>128.41999999999999</c:v>
                </c:pt>
                <c:pt idx="629">
                  <c:v>128.41999999999999</c:v>
                </c:pt>
                <c:pt idx="630">
                  <c:v>128.41999999999999</c:v>
                </c:pt>
                <c:pt idx="631">
                  <c:v>128.41999999999999</c:v>
                </c:pt>
                <c:pt idx="632">
                  <c:v>128.41999999999999</c:v>
                </c:pt>
                <c:pt idx="633">
                  <c:v>128.41999999999999</c:v>
                </c:pt>
                <c:pt idx="634">
                  <c:v>128.41999999999999</c:v>
                </c:pt>
                <c:pt idx="635">
                  <c:v>127.39</c:v>
                </c:pt>
                <c:pt idx="636">
                  <c:v>125.61</c:v>
                </c:pt>
                <c:pt idx="637">
                  <c:v>125.61</c:v>
                </c:pt>
                <c:pt idx="638">
                  <c:v>125.61</c:v>
                </c:pt>
                <c:pt idx="639">
                  <c:v>123.81</c:v>
                </c:pt>
                <c:pt idx="640">
                  <c:v>123.56</c:v>
                </c:pt>
                <c:pt idx="641">
                  <c:v>122.14</c:v>
                </c:pt>
                <c:pt idx="642">
                  <c:v>121.24</c:v>
                </c:pt>
                <c:pt idx="643">
                  <c:v>120.98</c:v>
                </c:pt>
                <c:pt idx="644">
                  <c:v>120.72</c:v>
                </c:pt>
                <c:pt idx="645">
                  <c:v>119.95</c:v>
                </c:pt>
                <c:pt idx="646">
                  <c:v>119.95</c:v>
                </c:pt>
                <c:pt idx="647">
                  <c:v>118.9</c:v>
                </c:pt>
                <c:pt idx="648">
                  <c:v>118.01</c:v>
                </c:pt>
                <c:pt idx="649">
                  <c:v>115.83</c:v>
                </c:pt>
                <c:pt idx="650">
                  <c:v>115.81</c:v>
                </c:pt>
                <c:pt idx="651">
                  <c:v>115.58</c:v>
                </c:pt>
                <c:pt idx="652">
                  <c:v>115.32</c:v>
                </c:pt>
                <c:pt idx="653">
                  <c:v>114.63</c:v>
                </c:pt>
                <c:pt idx="654">
                  <c:v>111.97</c:v>
                </c:pt>
                <c:pt idx="655">
                  <c:v>110.68</c:v>
                </c:pt>
                <c:pt idx="656">
                  <c:v>128.41999999999999</c:v>
                </c:pt>
                <c:pt idx="657">
                  <c:v>128.41999999999999</c:v>
                </c:pt>
                <c:pt idx="658">
                  <c:v>128.41999999999999</c:v>
                </c:pt>
                <c:pt idx="659">
                  <c:v>109.66</c:v>
                </c:pt>
                <c:pt idx="660">
                  <c:v>110.36</c:v>
                </c:pt>
                <c:pt idx="661">
                  <c:v>108.98</c:v>
                </c:pt>
                <c:pt idx="662">
                  <c:v>108.98</c:v>
                </c:pt>
                <c:pt idx="663">
                  <c:v>108.11</c:v>
                </c:pt>
                <c:pt idx="664">
                  <c:v>110.36</c:v>
                </c:pt>
                <c:pt idx="665">
                  <c:v>110.36</c:v>
                </c:pt>
                <c:pt idx="666">
                  <c:v>109.36</c:v>
                </c:pt>
                <c:pt idx="667">
                  <c:v>106.98</c:v>
                </c:pt>
                <c:pt idx="668">
                  <c:v>106.54</c:v>
                </c:pt>
                <c:pt idx="669">
                  <c:v>105.7</c:v>
                </c:pt>
                <c:pt idx="670">
                  <c:v>105.7</c:v>
                </c:pt>
                <c:pt idx="671">
                  <c:v>105.7</c:v>
                </c:pt>
                <c:pt idx="672">
                  <c:v>105.7</c:v>
                </c:pt>
                <c:pt idx="673">
                  <c:v>105.7</c:v>
                </c:pt>
                <c:pt idx="674">
                  <c:v>105.02</c:v>
                </c:pt>
                <c:pt idx="675">
                  <c:v>102.94</c:v>
                </c:pt>
                <c:pt idx="676">
                  <c:v>102.94</c:v>
                </c:pt>
                <c:pt idx="677">
                  <c:v>102.58</c:v>
                </c:pt>
                <c:pt idx="678">
                  <c:v>102.58</c:v>
                </c:pt>
                <c:pt idx="679">
                  <c:v>107.45</c:v>
                </c:pt>
                <c:pt idx="680">
                  <c:v>100.47</c:v>
                </c:pt>
                <c:pt idx="681">
                  <c:v>100.39</c:v>
                </c:pt>
                <c:pt idx="682">
                  <c:v>100.39</c:v>
                </c:pt>
                <c:pt idx="683">
                  <c:v>100.39</c:v>
                </c:pt>
                <c:pt idx="684">
                  <c:v>100.36</c:v>
                </c:pt>
                <c:pt idx="685">
                  <c:v>100.13</c:v>
                </c:pt>
                <c:pt idx="686">
                  <c:v>99.1</c:v>
                </c:pt>
                <c:pt idx="687">
                  <c:v>97.79</c:v>
                </c:pt>
                <c:pt idx="688">
                  <c:v>96.67</c:v>
                </c:pt>
                <c:pt idx="689">
                  <c:v>96.67</c:v>
                </c:pt>
                <c:pt idx="690">
                  <c:v>94.98</c:v>
                </c:pt>
                <c:pt idx="691">
                  <c:v>94.7</c:v>
                </c:pt>
                <c:pt idx="692">
                  <c:v>94.66</c:v>
                </c:pt>
                <c:pt idx="693">
                  <c:v>94.47</c:v>
                </c:pt>
                <c:pt idx="694">
                  <c:v>93.51</c:v>
                </c:pt>
                <c:pt idx="695">
                  <c:v>92.41</c:v>
                </c:pt>
                <c:pt idx="696">
                  <c:v>91.61</c:v>
                </c:pt>
                <c:pt idx="697">
                  <c:v>91.38</c:v>
                </c:pt>
                <c:pt idx="698">
                  <c:v>91.34</c:v>
                </c:pt>
                <c:pt idx="699">
                  <c:v>90.44</c:v>
                </c:pt>
                <c:pt idx="700">
                  <c:v>90.07</c:v>
                </c:pt>
                <c:pt idx="701">
                  <c:v>90.07</c:v>
                </c:pt>
                <c:pt idx="702">
                  <c:v>89.84</c:v>
                </c:pt>
                <c:pt idx="703">
                  <c:v>107.45</c:v>
                </c:pt>
                <c:pt idx="704">
                  <c:v>107.45</c:v>
                </c:pt>
                <c:pt idx="705">
                  <c:v>101.16</c:v>
                </c:pt>
                <c:pt idx="706">
                  <c:v>88.29</c:v>
                </c:pt>
                <c:pt idx="707">
                  <c:v>87.52</c:v>
                </c:pt>
                <c:pt idx="708">
                  <c:v>87.26</c:v>
                </c:pt>
                <c:pt idx="709">
                  <c:v>87</c:v>
                </c:pt>
                <c:pt idx="710">
                  <c:v>86.23</c:v>
                </c:pt>
                <c:pt idx="711">
                  <c:v>86.23</c:v>
                </c:pt>
                <c:pt idx="712">
                  <c:v>86.23</c:v>
                </c:pt>
                <c:pt idx="713">
                  <c:v>85.81</c:v>
                </c:pt>
                <c:pt idx="714">
                  <c:v>84.94</c:v>
                </c:pt>
                <c:pt idx="715">
                  <c:v>84.69</c:v>
                </c:pt>
                <c:pt idx="716">
                  <c:v>84.43</c:v>
                </c:pt>
                <c:pt idx="717">
                  <c:v>84.43</c:v>
                </c:pt>
                <c:pt idx="718">
                  <c:v>82.63</c:v>
                </c:pt>
                <c:pt idx="719">
                  <c:v>82.34</c:v>
                </c:pt>
                <c:pt idx="720">
                  <c:v>81.86</c:v>
                </c:pt>
                <c:pt idx="721">
                  <c:v>80.260000000000005</c:v>
                </c:pt>
                <c:pt idx="722">
                  <c:v>79.02</c:v>
                </c:pt>
                <c:pt idx="723">
                  <c:v>78.510000000000005</c:v>
                </c:pt>
                <c:pt idx="724">
                  <c:v>77.739999999999995</c:v>
                </c:pt>
                <c:pt idx="725">
                  <c:v>77.63</c:v>
                </c:pt>
                <c:pt idx="726">
                  <c:v>77.63</c:v>
                </c:pt>
                <c:pt idx="727">
                  <c:v>77.22</c:v>
                </c:pt>
                <c:pt idx="728">
                  <c:v>77.17</c:v>
                </c:pt>
                <c:pt idx="729">
                  <c:v>76.3</c:v>
                </c:pt>
                <c:pt idx="730">
                  <c:v>75.94</c:v>
                </c:pt>
                <c:pt idx="731">
                  <c:v>75.91</c:v>
                </c:pt>
                <c:pt idx="732">
                  <c:v>75.38</c:v>
                </c:pt>
                <c:pt idx="733">
                  <c:v>75.16</c:v>
                </c:pt>
                <c:pt idx="734">
                  <c:v>73.36</c:v>
                </c:pt>
                <c:pt idx="735">
                  <c:v>73.099999999999994</c:v>
                </c:pt>
                <c:pt idx="736">
                  <c:v>72.33</c:v>
                </c:pt>
                <c:pt idx="737">
                  <c:v>72.069999999999993</c:v>
                </c:pt>
                <c:pt idx="738">
                  <c:v>71.900000000000006</c:v>
                </c:pt>
                <c:pt idx="739">
                  <c:v>71.819999999999993</c:v>
                </c:pt>
                <c:pt idx="740">
                  <c:v>71.819999999999993</c:v>
                </c:pt>
                <c:pt idx="741">
                  <c:v>71.56</c:v>
                </c:pt>
                <c:pt idx="742">
                  <c:v>70.790000000000006</c:v>
                </c:pt>
                <c:pt idx="743">
                  <c:v>70.790000000000006</c:v>
                </c:pt>
                <c:pt idx="744">
                  <c:v>70.400000000000006</c:v>
                </c:pt>
                <c:pt idx="745">
                  <c:v>70.27</c:v>
                </c:pt>
                <c:pt idx="746">
                  <c:v>70.27</c:v>
                </c:pt>
                <c:pt idx="747">
                  <c:v>69.239999999999995</c:v>
                </c:pt>
                <c:pt idx="748">
                  <c:v>69.239999999999995</c:v>
                </c:pt>
                <c:pt idx="749">
                  <c:v>69.239999999999995</c:v>
                </c:pt>
                <c:pt idx="750">
                  <c:v>69.08</c:v>
                </c:pt>
                <c:pt idx="751">
                  <c:v>68.319999999999993</c:v>
                </c:pt>
                <c:pt idx="752">
                  <c:v>67.44</c:v>
                </c:pt>
                <c:pt idx="753">
                  <c:v>67.400000000000006</c:v>
                </c:pt>
                <c:pt idx="754">
                  <c:v>66.930000000000007</c:v>
                </c:pt>
                <c:pt idx="755">
                  <c:v>66.930000000000007</c:v>
                </c:pt>
                <c:pt idx="756">
                  <c:v>88.29</c:v>
                </c:pt>
                <c:pt idx="757">
                  <c:v>88.29</c:v>
                </c:pt>
                <c:pt idx="758">
                  <c:v>66.900000000000006</c:v>
                </c:pt>
                <c:pt idx="759">
                  <c:v>66.87</c:v>
                </c:pt>
                <c:pt idx="760">
                  <c:v>66.87</c:v>
                </c:pt>
                <c:pt idx="761">
                  <c:v>66.41</c:v>
                </c:pt>
                <c:pt idx="762">
                  <c:v>65.38</c:v>
                </c:pt>
                <c:pt idx="763">
                  <c:v>65.28</c:v>
                </c:pt>
                <c:pt idx="764">
                  <c:v>64.78</c:v>
                </c:pt>
                <c:pt idx="765">
                  <c:v>64.61</c:v>
                </c:pt>
                <c:pt idx="766">
                  <c:v>64.17</c:v>
                </c:pt>
                <c:pt idx="767">
                  <c:v>88.24</c:v>
                </c:pt>
                <c:pt idx="768">
                  <c:v>66.900000000000006</c:v>
                </c:pt>
                <c:pt idx="769">
                  <c:v>66.900000000000006</c:v>
                </c:pt>
                <c:pt idx="770">
                  <c:v>63.84</c:v>
                </c:pt>
                <c:pt idx="771">
                  <c:v>62.81</c:v>
                </c:pt>
                <c:pt idx="772">
                  <c:v>62.78</c:v>
                </c:pt>
                <c:pt idx="773">
                  <c:v>62.55</c:v>
                </c:pt>
                <c:pt idx="774">
                  <c:v>61.75</c:v>
                </c:pt>
                <c:pt idx="775">
                  <c:v>61.75</c:v>
                </c:pt>
                <c:pt idx="776">
                  <c:v>61.65</c:v>
                </c:pt>
                <c:pt idx="777">
                  <c:v>61.65</c:v>
                </c:pt>
                <c:pt idx="778">
                  <c:v>61.65</c:v>
                </c:pt>
                <c:pt idx="779">
                  <c:v>61.65</c:v>
                </c:pt>
                <c:pt idx="780">
                  <c:v>61.65</c:v>
                </c:pt>
                <c:pt idx="781">
                  <c:v>61.65</c:v>
                </c:pt>
                <c:pt idx="782">
                  <c:v>61.65</c:v>
                </c:pt>
                <c:pt idx="783">
                  <c:v>61.65</c:v>
                </c:pt>
                <c:pt idx="784">
                  <c:v>61.01</c:v>
                </c:pt>
                <c:pt idx="785">
                  <c:v>59.72</c:v>
                </c:pt>
                <c:pt idx="786">
                  <c:v>59.18</c:v>
                </c:pt>
                <c:pt idx="787">
                  <c:v>59.13</c:v>
                </c:pt>
                <c:pt idx="788">
                  <c:v>57.92</c:v>
                </c:pt>
                <c:pt idx="789">
                  <c:v>57.92</c:v>
                </c:pt>
                <c:pt idx="790">
                  <c:v>56.63</c:v>
                </c:pt>
                <c:pt idx="791">
                  <c:v>56.6</c:v>
                </c:pt>
                <c:pt idx="792">
                  <c:v>56.6</c:v>
                </c:pt>
                <c:pt idx="793">
                  <c:v>56.37</c:v>
                </c:pt>
                <c:pt idx="794">
                  <c:v>56.35</c:v>
                </c:pt>
                <c:pt idx="795">
                  <c:v>56.29</c:v>
                </c:pt>
                <c:pt idx="796">
                  <c:v>55.86</c:v>
                </c:pt>
                <c:pt idx="797">
                  <c:v>55.86</c:v>
                </c:pt>
                <c:pt idx="798">
                  <c:v>55.34</c:v>
                </c:pt>
                <c:pt idx="799">
                  <c:v>54.83</c:v>
                </c:pt>
                <c:pt idx="800">
                  <c:v>54.25</c:v>
                </c:pt>
                <c:pt idx="801">
                  <c:v>54.06</c:v>
                </c:pt>
                <c:pt idx="802">
                  <c:v>53.8</c:v>
                </c:pt>
                <c:pt idx="803">
                  <c:v>52.92</c:v>
                </c:pt>
                <c:pt idx="804">
                  <c:v>52.77</c:v>
                </c:pt>
                <c:pt idx="805">
                  <c:v>52.23</c:v>
                </c:pt>
                <c:pt idx="806">
                  <c:v>52.2</c:v>
                </c:pt>
                <c:pt idx="807">
                  <c:v>51.48</c:v>
                </c:pt>
                <c:pt idx="808">
                  <c:v>51.22</c:v>
                </c:pt>
                <c:pt idx="809">
                  <c:v>51.22</c:v>
                </c:pt>
                <c:pt idx="810">
                  <c:v>50.45</c:v>
                </c:pt>
                <c:pt idx="811">
                  <c:v>49.94</c:v>
                </c:pt>
                <c:pt idx="812">
                  <c:v>49.82</c:v>
                </c:pt>
                <c:pt idx="813">
                  <c:v>49.68</c:v>
                </c:pt>
                <c:pt idx="814">
                  <c:v>48.88</c:v>
                </c:pt>
                <c:pt idx="815">
                  <c:v>48.62</c:v>
                </c:pt>
                <c:pt idx="816">
                  <c:v>48.37</c:v>
                </c:pt>
                <c:pt idx="817">
                  <c:v>48.34</c:v>
                </c:pt>
                <c:pt idx="818">
                  <c:v>47.62</c:v>
                </c:pt>
                <c:pt idx="819">
                  <c:v>47.36</c:v>
                </c:pt>
                <c:pt idx="820">
                  <c:v>46.33</c:v>
                </c:pt>
                <c:pt idx="821">
                  <c:v>46.31</c:v>
                </c:pt>
                <c:pt idx="822">
                  <c:v>46.31</c:v>
                </c:pt>
                <c:pt idx="823">
                  <c:v>45.84</c:v>
                </c:pt>
                <c:pt idx="824">
                  <c:v>45.82</c:v>
                </c:pt>
                <c:pt idx="825">
                  <c:v>45.82</c:v>
                </c:pt>
                <c:pt idx="826">
                  <c:v>45.82</c:v>
                </c:pt>
                <c:pt idx="827">
                  <c:v>45.52</c:v>
                </c:pt>
                <c:pt idx="828">
                  <c:v>45.05</c:v>
                </c:pt>
                <c:pt idx="829">
                  <c:v>45.05</c:v>
                </c:pt>
                <c:pt idx="830">
                  <c:v>43.98</c:v>
                </c:pt>
                <c:pt idx="831">
                  <c:v>43.76</c:v>
                </c:pt>
                <c:pt idx="832">
                  <c:v>43.73</c:v>
                </c:pt>
                <c:pt idx="833">
                  <c:v>43.73</c:v>
                </c:pt>
                <c:pt idx="834">
                  <c:v>43.73</c:v>
                </c:pt>
                <c:pt idx="835">
                  <c:v>43.5</c:v>
                </c:pt>
                <c:pt idx="836">
                  <c:v>64.02</c:v>
                </c:pt>
                <c:pt idx="837">
                  <c:v>43.24</c:v>
                </c:pt>
                <c:pt idx="838">
                  <c:v>42.99</c:v>
                </c:pt>
                <c:pt idx="839">
                  <c:v>42.99</c:v>
                </c:pt>
                <c:pt idx="840">
                  <c:v>42.99</c:v>
                </c:pt>
                <c:pt idx="841">
                  <c:v>42.47</c:v>
                </c:pt>
                <c:pt idx="842">
                  <c:v>42.47</c:v>
                </c:pt>
                <c:pt idx="843">
                  <c:v>42.47</c:v>
                </c:pt>
                <c:pt idx="844">
                  <c:v>42.47</c:v>
                </c:pt>
                <c:pt idx="845">
                  <c:v>41.96</c:v>
                </c:pt>
                <c:pt idx="846">
                  <c:v>41.44</c:v>
                </c:pt>
                <c:pt idx="847">
                  <c:v>41.19</c:v>
                </c:pt>
                <c:pt idx="848">
                  <c:v>41.19</c:v>
                </c:pt>
                <c:pt idx="849">
                  <c:v>41.19</c:v>
                </c:pt>
                <c:pt idx="850">
                  <c:v>41.18</c:v>
                </c:pt>
                <c:pt idx="851">
                  <c:v>41.16</c:v>
                </c:pt>
                <c:pt idx="852">
                  <c:v>41.11</c:v>
                </c:pt>
                <c:pt idx="853">
                  <c:v>40.93</c:v>
                </c:pt>
                <c:pt idx="854">
                  <c:v>40.93</c:v>
                </c:pt>
                <c:pt idx="855">
                  <c:v>40.93</c:v>
                </c:pt>
                <c:pt idx="856">
                  <c:v>40.93</c:v>
                </c:pt>
                <c:pt idx="857">
                  <c:v>40.9</c:v>
                </c:pt>
                <c:pt idx="858">
                  <c:v>40.159999999999997</c:v>
                </c:pt>
                <c:pt idx="859">
                  <c:v>40.090000000000003</c:v>
                </c:pt>
                <c:pt idx="860">
                  <c:v>40.090000000000003</c:v>
                </c:pt>
                <c:pt idx="861">
                  <c:v>40.090000000000003</c:v>
                </c:pt>
                <c:pt idx="862">
                  <c:v>39.9</c:v>
                </c:pt>
                <c:pt idx="863">
                  <c:v>39.380000000000003</c:v>
                </c:pt>
                <c:pt idx="864">
                  <c:v>39.380000000000003</c:v>
                </c:pt>
                <c:pt idx="865">
                  <c:v>39.380000000000003</c:v>
                </c:pt>
                <c:pt idx="866">
                  <c:v>39.380000000000003</c:v>
                </c:pt>
                <c:pt idx="867">
                  <c:v>39.380000000000003</c:v>
                </c:pt>
                <c:pt idx="868">
                  <c:v>39.380000000000003</c:v>
                </c:pt>
                <c:pt idx="869">
                  <c:v>39.36</c:v>
                </c:pt>
                <c:pt idx="870">
                  <c:v>39.299999999999997</c:v>
                </c:pt>
                <c:pt idx="871">
                  <c:v>39.25</c:v>
                </c:pt>
                <c:pt idx="872">
                  <c:v>38.869999999999997</c:v>
                </c:pt>
                <c:pt idx="873">
                  <c:v>38.590000000000003</c:v>
                </c:pt>
                <c:pt idx="874">
                  <c:v>38.35</c:v>
                </c:pt>
                <c:pt idx="875">
                  <c:v>38.35</c:v>
                </c:pt>
                <c:pt idx="876">
                  <c:v>38.35</c:v>
                </c:pt>
                <c:pt idx="877">
                  <c:v>38.35</c:v>
                </c:pt>
                <c:pt idx="878">
                  <c:v>38.35</c:v>
                </c:pt>
                <c:pt idx="879">
                  <c:v>38.28</c:v>
                </c:pt>
                <c:pt idx="880">
                  <c:v>38.19</c:v>
                </c:pt>
                <c:pt idx="881">
                  <c:v>38.1</c:v>
                </c:pt>
                <c:pt idx="882">
                  <c:v>37.07</c:v>
                </c:pt>
                <c:pt idx="883">
                  <c:v>36.81</c:v>
                </c:pt>
                <c:pt idx="884">
                  <c:v>36.29</c:v>
                </c:pt>
                <c:pt idx="885">
                  <c:v>36.07</c:v>
                </c:pt>
                <c:pt idx="886">
                  <c:v>36.01</c:v>
                </c:pt>
                <c:pt idx="887">
                  <c:v>35.78</c:v>
                </c:pt>
                <c:pt idx="888">
                  <c:v>35.26</c:v>
                </c:pt>
                <c:pt idx="889">
                  <c:v>35.24</c:v>
                </c:pt>
                <c:pt idx="890">
                  <c:v>34.96</c:v>
                </c:pt>
                <c:pt idx="891">
                  <c:v>34.75</c:v>
                </c:pt>
                <c:pt idx="892">
                  <c:v>34.75</c:v>
                </c:pt>
                <c:pt idx="893">
                  <c:v>34.75</c:v>
                </c:pt>
                <c:pt idx="894">
                  <c:v>34.75</c:v>
                </c:pt>
                <c:pt idx="895">
                  <c:v>34.75</c:v>
                </c:pt>
                <c:pt idx="896">
                  <c:v>34.75</c:v>
                </c:pt>
                <c:pt idx="897">
                  <c:v>33.44</c:v>
                </c:pt>
                <c:pt idx="898">
                  <c:v>33.21</c:v>
                </c:pt>
                <c:pt idx="899">
                  <c:v>32.869999999999997</c:v>
                </c:pt>
                <c:pt idx="900">
                  <c:v>32.69</c:v>
                </c:pt>
                <c:pt idx="901">
                  <c:v>32.69</c:v>
                </c:pt>
                <c:pt idx="902">
                  <c:v>32.5</c:v>
                </c:pt>
                <c:pt idx="903">
                  <c:v>32.18</c:v>
                </c:pt>
                <c:pt idx="904">
                  <c:v>32.17</c:v>
                </c:pt>
                <c:pt idx="905">
                  <c:v>31.92</c:v>
                </c:pt>
                <c:pt idx="906">
                  <c:v>31.91</c:v>
                </c:pt>
                <c:pt idx="907">
                  <c:v>30.89</c:v>
                </c:pt>
                <c:pt idx="908">
                  <c:v>64.02</c:v>
                </c:pt>
                <c:pt idx="909">
                  <c:v>64.02</c:v>
                </c:pt>
                <c:pt idx="910">
                  <c:v>30.76</c:v>
                </c:pt>
                <c:pt idx="911">
                  <c:v>30.37</c:v>
                </c:pt>
                <c:pt idx="912">
                  <c:v>30.36</c:v>
                </c:pt>
                <c:pt idx="913">
                  <c:v>30.34</c:v>
                </c:pt>
                <c:pt idx="914">
                  <c:v>43.43</c:v>
                </c:pt>
                <c:pt idx="915">
                  <c:v>29.6</c:v>
                </c:pt>
                <c:pt idx="916">
                  <c:v>29.58</c:v>
                </c:pt>
                <c:pt idx="917">
                  <c:v>29.58</c:v>
                </c:pt>
                <c:pt idx="918">
                  <c:v>29.58</c:v>
                </c:pt>
                <c:pt idx="919">
                  <c:v>29.58</c:v>
                </c:pt>
                <c:pt idx="920">
                  <c:v>29.58</c:v>
                </c:pt>
                <c:pt idx="921">
                  <c:v>29.58</c:v>
                </c:pt>
                <c:pt idx="922">
                  <c:v>29.58</c:v>
                </c:pt>
                <c:pt idx="923">
                  <c:v>29.58</c:v>
                </c:pt>
                <c:pt idx="924">
                  <c:v>29.58</c:v>
                </c:pt>
                <c:pt idx="925">
                  <c:v>29.58</c:v>
                </c:pt>
                <c:pt idx="926">
                  <c:v>29.16</c:v>
                </c:pt>
                <c:pt idx="927">
                  <c:v>28.29</c:v>
                </c:pt>
                <c:pt idx="928">
                  <c:v>28.29</c:v>
                </c:pt>
                <c:pt idx="929">
                  <c:v>28.29</c:v>
                </c:pt>
                <c:pt idx="930">
                  <c:v>28</c:v>
                </c:pt>
                <c:pt idx="931">
                  <c:v>25.71</c:v>
                </c:pt>
                <c:pt idx="932">
                  <c:v>25.71</c:v>
                </c:pt>
                <c:pt idx="933">
                  <c:v>25.71</c:v>
                </c:pt>
                <c:pt idx="934">
                  <c:v>25.71</c:v>
                </c:pt>
                <c:pt idx="935">
                  <c:v>25.71</c:v>
                </c:pt>
                <c:pt idx="936">
                  <c:v>25.56</c:v>
                </c:pt>
                <c:pt idx="937">
                  <c:v>25.48</c:v>
                </c:pt>
                <c:pt idx="938">
                  <c:v>25.48</c:v>
                </c:pt>
                <c:pt idx="939">
                  <c:v>24.63</c:v>
                </c:pt>
                <c:pt idx="940">
                  <c:v>24.43</c:v>
                </c:pt>
                <c:pt idx="941">
                  <c:v>23.12</c:v>
                </c:pt>
                <c:pt idx="942">
                  <c:v>23.05</c:v>
                </c:pt>
                <c:pt idx="943">
                  <c:v>22.91</c:v>
                </c:pt>
                <c:pt idx="944">
                  <c:v>22.91</c:v>
                </c:pt>
                <c:pt idx="945">
                  <c:v>29.86</c:v>
                </c:pt>
                <c:pt idx="946">
                  <c:v>22.8</c:v>
                </c:pt>
                <c:pt idx="947">
                  <c:v>22.8</c:v>
                </c:pt>
                <c:pt idx="948">
                  <c:v>22.8</c:v>
                </c:pt>
                <c:pt idx="949">
                  <c:v>22.8</c:v>
                </c:pt>
                <c:pt idx="950">
                  <c:v>22.8</c:v>
                </c:pt>
                <c:pt idx="951">
                  <c:v>22.8</c:v>
                </c:pt>
                <c:pt idx="952">
                  <c:v>22.8</c:v>
                </c:pt>
                <c:pt idx="953">
                  <c:v>22.8</c:v>
                </c:pt>
                <c:pt idx="954">
                  <c:v>22.8</c:v>
                </c:pt>
                <c:pt idx="955">
                  <c:v>22.2</c:v>
                </c:pt>
                <c:pt idx="956">
                  <c:v>21.85</c:v>
                </c:pt>
                <c:pt idx="957">
                  <c:v>21.6</c:v>
                </c:pt>
                <c:pt idx="958">
                  <c:v>20.57</c:v>
                </c:pt>
                <c:pt idx="959">
                  <c:v>20.57</c:v>
                </c:pt>
                <c:pt idx="960">
                  <c:v>20.34</c:v>
                </c:pt>
                <c:pt idx="961">
                  <c:v>20.05</c:v>
                </c:pt>
                <c:pt idx="962">
                  <c:v>18.87</c:v>
                </c:pt>
                <c:pt idx="963">
                  <c:v>18.53</c:v>
                </c:pt>
                <c:pt idx="964">
                  <c:v>17.25</c:v>
                </c:pt>
                <c:pt idx="965">
                  <c:v>17.149999999999999</c:v>
                </c:pt>
                <c:pt idx="966">
                  <c:v>16.73</c:v>
                </c:pt>
                <c:pt idx="967">
                  <c:v>16.41</c:v>
                </c:pt>
                <c:pt idx="968">
                  <c:v>16.350000000000001</c:v>
                </c:pt>
                <c:pt idx="969">
                  <c:v>15.42</c:v>
                </c:pt>
                <c:pt idx="970">
                  <c:v>14.39</c:v>
                </c:pt>
                <c:pt idx="971">
                  <c:v>13.3</c:v>
                </c:pt>
                <c:pt idx="972">
                  <c:v>12.87</c:v>
                </c:pt>
                <c:pt idx="973">
                  <c:v>12.84</c:v>
                </c:pt>
                <c:pt idx="974">
                  <c:v>12.74</c:v>
                </c:pt>
                <c:pt idx="975">
                  <c:v>12.47</c:v>
                </c:pt>
                <c:pt idx="976">
                  <c:v>12.47</c:v>
                </c:pt>
                <c:pt idx="977">
                  <c:v>11.56</c:v>
                </c:pt>
                <c:pt idx="978">
                  <c:v>11.02</c:v>
                </c:pt>
                <c:pt idx="979">
                  <c:v>10.81</c:v>
                </c:pt>
                <c:pt idx="980">
                  <c:v>10.31</c:v>
                </c:pt>
                <c:pt idx="981">
                  <c:v>9.27</c:v>
                </c:pt>
                <c:pt idx="982">
                  <c:v>9.24</c:v>
                </c:pt>
                <c:pt idx="983">
                  <c:v>9.23</c:v>
                </c:pt>
                <c:pt idx="984">
                  <c:v>8.49</c:v>
                </c:pt>
                <c:pt idx="985">
                  <c:v>7.75</c:v>
                </c:pt>
                <c:pt idx="986">
                  <c:v>7.72</c:v>
                </c:pt>
                <c:pt idx="987">
                  <c:v>7.72</c:v>
                </c:pt>
                <c:pt idx="988">
                  <c:v>7.7</c:v>
                </c:pt>
                <c:pt idx="989">
                  <c:v>7.7</c:v>
                </c:pt>
                <c:pt idx="990">
                  <c:v>7.7</c:v>
                </c:pt>
                <c:pt idx="991">
                  <c:v>4.09</c:v>
                </c:pt>
                <c:pt idx="992">
                  <c:v>3.84</c:v>
                </c:pt>
              </c:numCache>
            </c:numRef>
          </c:xVal>
          <c:yVal>
            <c:numRef>
              <c:f>SalesData!$I$2:$I$1001</c:f>
              <c:numCache>
                <c:formatCode>General</c:formatCode>
                <c:ptCount val="1000"/>
                <c:pt idx="0">
                  <c:v>8046.52</c:v>
                </c:pt>
                <c:pt idx="1">
                  <c:v>9303.4500000000007</c:v>
                </c:pt>
                <c:pt idx="2">
                  <c:v>4996.08</c:v>
                </c:pt>
                <c:pt idx="3">
                  <c:v>1665.36</c:v>
                </c:pt>
                <c:pt idx="4">
                  <c:v>8326.7999999999993</c:v>
                </c:pt>
                <c:pt idx="5">
                  <c:v>1665.36</c:v>
                </c:pt>
                <c:pt idx="6">
                  <c:v>6661.44</c:v>
                </c:pt>
                <c:pt idx="7">
                  <c:v>7917.4</c:v>
                </c:pt>
                <c:pt idx="8">
                  <c:v>4750.4400000000005</c:v>
                </c:pt>
                <c:pt idx="9">
                  <c:v>7745.3499999999995</c:v>
                </c:pt>
                <c:pt idx="10">
                  <c:v>7277.8499999999995</c:v>
                </c:pt>
                <c:pt idx="11">
                  <c:v>3055.36</c:v>
                </c:pt>
                <c:pt idx="12">
                  <c:v>5822.28</c:v>
                </c:pt>
                <c:pt idx="13">
                  <c:v>1348.61</c:v>
                </c:pt>
                <c:pt idx="14">
                  <c:v>1348.61</c:v>
                </c:pt>
                <c:pt idx="15">
                  <c:v>6743.0499999999993</c:v>
                </c:pt>
                <c:pt idx="16">
                  <c:v>2697.22</c:v>
                </c:pt>
                <c:pt idx="17">
                  <c:v>5394.44</c:v>
                </c:pt>
                <c:pt idx="18">
                  <c:v>6743.0499999999993</c:v>
                </c:pt>
                <c:pt idx="19">
                  <c:v>2697.22</c:v>
                </c:pt>
                <c:pt idx="20">
                  <c:v>5394.44</c:v>
                </c:pt>
                <c:pt idx="21">
                  <c:v>6743.0499999999993</c:v>
                </c:pt>
                <c:pt idx="22">
                  <c:v>6743.0499999999993</c:v>
                </c:pt>
                <c:pt idx="23">
                  <c:v>5394.44</c:v>
                </c:pt>
                <c:pt idx="24">
                  <c:v>5394.44</c:v>
                </c:pt>
                <c:pt idx="25">
                  <c:v>5348.92</c:v>
                </c:pt>
                <c:pt idx="26">
                  <c:v>6686.15</c:v>
                </c:pt>
                <c:pt idx="27">
                  <c:v>4729.4799999999996</c:v>
                </c:pt>
                <c:pt idx="28">
                  <c:v>2563.92</c:v>
                </c:pt>
                <c:pt idx="29">
                  <c:v>5532.95</c:v>
                </c:pt>
                <c:pt idx="30">
                  <c:v>2294.52</c:v>
                </c:pt>
                <c:pt idx="31">
                  <c:v>2055.1799999999998</c:v>
                </c:pt>
                <c:pt idx="32">
                  <c:v>4109.76</c:v>
                </c:pt>
                <c:pt idx="33">
                  <c:v>4055.44</c:v>
                </c:pt>
                <c:pt idx="34">
                  <c:v>3041.58</c:v>
                </c:pt>
                <c:pt idx="35">
                  <c:v>4055.44</c:v>
                </c:pt>
                <c:pt idx="36">
                  <c:v>4055.44</c:v>
                </c:pt>
                <c:pt idx="37">
                  <c:v>3041.58</c:v>
                </c:pt>
                <c:pt idx="38">
                  <c:v>3010.89</c:v>
                </c:pt>
                <c:pt idx="39">
                  <c:v>3909.2</c:v>
                </c:pt>
                <c:pt idx="40">
                  <c:v>4886.5</c:v>
                </c:pt>
                <c:pt idx="41">
                  <c:v>2931.8999999999996</c:v>
                </c:pt>
                <c:pt idx="42">
                  <c:v>3921.84</c:v>
                </c:pt>
                <c:pt idx="43">
                  <c:v>977.89</c:v>
                </c:pt>
                <c:pt idx="44">
                  <c:v>4884.1000000000004</c:v>
                </c:pt>
                <c:pt idx="45">
                  <c:v>973.41</c:v>
                </c:pt>
                <c:pt idx="46">
                  <c:v>973.41</c:v>
                </c:pt>
                <c:pt idx="47">
                  <c:v>4747.3500000000004</c:v>
                </c:pt>
                <c:pt idx="48">
                  <c:v>949.47</c:v>
                </c:pt>
                <c:pt idx="49">
                  <c:v>2848.41</c:v>
                </c:pt>
                <c:pt idx="50">
                  <c:v>2856.45</c:v>
                </c:pt>
                <c:pt idx="51">
                  <c:v>1898.94</c:v>
                </c:pt>
                <c:pt idx="52">
                  <c:v>3797.88</c:v>
                </c:pt>
                <c:pt idx="53">
                  <c:v>4747.3500000000004</c:v>
                </c:pt>
                <c:pt idx="54">
                  <c:v>1898.94</c:v>
                </c:pt>
                <c:pt idx="55">
                  <c:v>949.47</c:v>
                </c:pt>
                <c:pt idx="56">
                  <c:v>1898.94</c:v>
                </c:pt>
                <c:pt idx="57">
                  <c:v>3797.88</c:v>
                </c:pt>
                <c:pt idx="58">
                  <c:v>2848.41</c:v>
                </c:pt>
                <c:pt idx="59">
                  <c:v>2848.41</c:v>
                </c:pt>
                <c:pt idx="60">
                  <c:v>4747.3500000000004</c:v>
                </c:pt>
                <c:pt idx="61">
                  <c:v>2848.41</c:v>
                </c:pt>
                <c:pt idx="62">
                  <c:v>949.47</c:v>
                </c:pt>
                <c:pt idx="63">
                  <c:v>4747.3500000000004</c:v>
                </c:pt>
                <c:pt idx="64">
                  <c:v>4747.3500000000004</c:v>
                </c:pt>
                <c:pt idx="65">
                  <c:v>4747.3500000000004</c:v>
                </c:pt>
                <c:pt idx="66">
                  <c:v>3797.88</c:v>
                </c:pt>
                <c:pt idx="67">
                  <c:v>4747.3500000000004</c:v>
                </c:pt>
                <c:pt idx="68">
                  <c:v>3797.88</c:v>
                </c:pt>
                <c:pt idx="69">
                  <c:v>2848.41</c:v>
                </c:pt>
                <c:pt idx="70">
                  <c:v>4747.3500000000004</c:v>
                </c:pt>
                <c:pt idx="71">
                  <c:v>3797.88</c:v>
                </c:pt>
                <c:pt idx="72">
                  <c:v>949.47</c:v>
                </c:pt>
                <c:pt idx="73">
                  <c:v>2848.41</c:v>
                </c:pt>
                <c:pt idx="74">
                  <c:v>3797.88</c:v>
                </c:pt>
                <c:pt idx="75">
                  <c:v>2848.41</c:v>
                </c:pt>
                <c:pt idx="76">
                  <c:v>2785.14</c:v>
                </c:pt>
                <c:pt idx="77">
                  <c:v>4640.8999999999996</c:v>
                </c:pt>
                <c:pt idx="78">
                  <c:v>2784.54</c:v>
                </c:pt>
                <c:pt idx="79">
                  <c:v>4640.8999999999996</c:v>
                </c:pt>
                <c:pt idx="80">
                  <c:v>4115.8</c:v>
                </c:pt>
                <c:pt idx="81">
                  <c:v>2328.2400000000002</c:v>
                </c:pt>
                <c:pt idx="82">
                  <c:v>2998.68</c:v>
                </c:pt>
                <c:pt idx="83">
                  <c:v>2249.0099999999998</c:v>
                </c:pt>
                <c:pt idx="84">
                  <c:v>1499.34</c:v>
                </c:pt>
                <c:pt idx="85">
                  <c:v>3660.3500000000004</c:v>
                </c:pt>
                <c:pt idx="86">
                  <c:v>2664.09</c:v>
                </c:pt>
                <c:pt idx="87">
                  <c:v>4374.6499999999996</c:v>
                </c:pt>
                <c:pt idx="88">
                  <c:v>2196.21</c:v>
                </c:pt>
                <c:pt idx="89">
                  <c:v>3272.76</c:v>
                </c:pt>
                <c:pt idx="90">
                  <c:v>2928.28</c:v>
                </c:pt>
                <c:pt idx="91">
                  <c:v>1544.38</c:v>
                </c:pt>
                <c:pt idx="92">
                  <c:v>3859.8</c:v>
                </c:pt>
                <c:pt idx="93">
                  <c:v>2196.21</c:v>
                </c:pt>
                <c:pt idx="94">
                  <c:v>757.7</c:v>
                </c:pt>
                <c:pt idx="95">
                  <c:v>1502.54</c:v>
                </c:pt>
                <c:pt idx="96">
                  <c:v>1502.54</c:v>
                </c:pt>
                <c:pt idx="97">
                  <c:v>2167.1999999999998</c:v>
                </c:pt>
                <c:pt idx="98">
                  <c:v>1444.8</c:v>
                </c:pt>
                <c:pt idx="99">
                  <c:v>2889.6</c:v>
                </c:pt>
                <c:pt idx="100">
                  <c:v>1444.8</c:v>
                </c:pt>
                <c:pt idx="101">
                  <c:v>2167.1999999999998</c:v>
                </c:pt>
                <c:pt idx="102">
                  <c:v>2889.6</c:v>
                </c:pt>
                <c:pt idx="103">
                  <c:v>3612</c:v>
                </c:pt>
                <c:pt idx="104">
                  <c:v>722.4</c:v>
                </c:pt>
                <c:pt idx="105">
                  <c:v>2889.6</c:v>
                </c:pt>
                <c:pt idx="106">
                  <c:v>2167.1999999999998</c:v>
                </c:pt>
                <c:pt idx="107">
                  <c:v>3612</c:v>
                </c:pt>
                <c:pt idx="108">
                  <c:v>722.4</c:v>
                </c:pt>
                <c:pt idx="109">
                  <c:v>1444.8</c:v>
                </c:pt>
                <c:pt idx="110">
                  <c:v>722.4</c:v>
                </c:pt>
                <c:pt idx="111">
                  <c:v>2889.6</c:v>
                </c:pt>
                <c:pt idx="112">
                  <c:v>2889.6</c:v>
                </c:pt>
                <c:pt idx="113">
                  <c:v>722.4</c:v>
                </c:pt>
                <c:pt idx="114">
                  <c:v>3612</c:v>
                </c:pt>
                <c:pt idx="115">
                  <c:v>1182.5</c:v>
                </c:pt>
                <c:pt idx="116">
                  <c:v>2365</c:v>
                </c:pt>
                <c:pt idx="117">
                  <c:v>2889.45</c:v>
                </c:pt>
                <c:pt idx="118">
                  <c:v>577.89</c:v>
                </c:pt>
                <c:pt idx="119">
                  <c:v>2889.45</c:v>
                </c:pt>
                <c:pt idx="120">
                  <c:v>577.89</c:v>
                </c:pt>
                <c:pt idx="121">
                  <c:v>1155.78</c:v>
                </c:pt>
                <c:pt idx="122">
                  <c:v>2311.56</c:v>
                </c:pt>
                <c:pt idx="123">
                  <c:v>566.04</c:v>
                </c:pt>
                <c:pt idx="124">
                  <c:v>2662.8500000000004</c:v>
                </c:pt>
                <c:pt idx="125">
                  <c:v>2839.72</c:v>
                </c:pt>
                <c:pt idx="126">
                  <c:v>1419.86</c:v>
                </c:pt>
                <c:pt idx="127">
                  <c:v>3548.35</c:v>
                </c:pt>
                <c:pt idx="128">
                  <c:v>3410.4500000000003</c:v>
                </c:pt>
                <c:pt idx="129">
                  <c:v>1597.71</c:v>
                </c:pt>
                <c:pt idx="130">
                  <c:v>642.23</c:v>
                </c:pt>
                <c:pt idx="131">
                  <c:v>2656.3</c:v>
                </c:pt>
                <c:pt idx="132">
                  <c:v>1593.78</c:v>
                </c:pt>
                <c:pt idx="133">
                  <c:v>1593.78</c:v>
                </c:pt>
                <c:pt idx="134">
                  <c:v>2125.04</c:v>
                </c:pt>
                <c:pt idx="135">
                  <c:v>1863.64</c:v>
                </c:pt>
                <c:pt idx="136">
                  <c:v>1863.64</c:v>
                </c:pt>
                <c:pt idx="137">
                  <c:v>458.28</c:v>
                </c:pt>
                <c:pt idx="138">
                  <c:v>1374.84</c:v>
                </c:pt>
                <c:pt idx="139">
                  <c:v>1833.12</c:v>
                </c:pt>
                <c:pt idx="140">
                  <c:v>1833.12</c:v>
                </c:pt>
                <c:pt idx="141">
                  <c:v>1152.1600000000001</c:v>
                </c:pt>
                <c:pt idx="142">
                  <c:v>1698.8999999999999</c:v>
                </c:pt>
                <c:pt idx="143">
                  <c:v>1833.12</c:v>
                </c:pt>
                <c:pt idx="144">
                  <c:v>2702.55</c:v>
                </c:pt>
                <c:pt idx="145">
                  <c:v>916.56</c:v>
                </c:pt>
                <c:pt idx="146">
                  <c:v>916.56</c:v>
                </c:pt>
                <c:pt idx="147">
                  <c:v>1833.12</c:v>
                </c:pt>
                <c:pt idx="148">
                  <c:v>1833.12</c:v>
                </c:pt>
                <c:pt idx="149">
                  <c:v>458.28</c:v>
                </c:pt>
                <c:pt idx="150">
                  <c:v>1833.12</c:v>
                </c:pt>
                <c:pt idx="151">
                  <c:v>2100.3200000000002</c:v>
                </c:pt>
                <c:pt idx="152">
                  <c:v>1041.1400000000001</c:v>
                </c:pt>
                <c:pt idx="153">
                  <c:v>2573.9499999999998</c:v>
                </c:pt>
                <c:pt idx="154">
                  <c:v>1029.58</c:v>
                </c:pt>
                <c:pt idx="155">
                  <c:v>2559.7999999999997</c:v>
                </c:pt>
                <c:pt idx="156">
                  <c:v>1530.54</c:v>
                </c:pt>
                <c:pt idx="157">
                  <c:v>2291.3999999999996</c:v>
                </c:pt>
                <c:pt idx="158">
                  <c:v>1374.84</c:v>
                </c:pt>
                <c:pt idx="159">
                  <c:v>1833.12</c:v>
                </c:pt>
                <c:pt idx="160">
                  <c:v>458.28</c:v>
                </c:pt>
                <c:pt idx="161">
                  <c:v>458.28</c:v>
                </c:pt>
                <c:pt idx="162">
                  <c:v>2291.3999999999996</c:v>
                </c:pt>
                <c:pt idx="163">
                  <c:v>916.56</c:v>
                </c:pt>
                <c:pt idx="164">
                  <c:v>2285.65</c:v>
                </c:pt>
                <c:pt idx="165">
                  <c:v>1359.48</c:v>
                </c:pt>
                <c:pt idx="166">
                  <c:v>447.6</c:v>
                </c:pt>
                <c:pt idx="167">
                  <c:v>437.31</c:v>
                </c:pt>
                <c:pt idx="168">
                  <c:v>2057.7000000000003</c:v>
                </c:pt>
                <c:pt idx="169">
                  <c:v>716.62</c:v>
                </c:pt>
                <c:pt idx="170">
                  <c:v>1433.24</c:v>
                </c:pt>
                <c:pt idx="171">
                  <c:v>2316.5500000000002</c:v>
                </c:pt>
                <c:pt idx="172">
                  <c:v>2316.5500000000002</c:v>
                </c:pt>
                <c:pt idx="173">
                  <c:v>463.28</c:v>
                </c:pt>
                <c:pt idx="174">
                  <c:v>1853.12</c:v>
                </c:pt>
                <c:pt idx="175">
                  <c:v>463.28</c:v>
                </c:pt>
                <c:pt idx="176">
                  <c:v>1389.21</c:v>
                </c:pt>
                <c:pt idx="177">
                  <c:v>462.79</c:v>
                </c:pt>
                <c:pt idx="178">
                  <c:v>1842.8</c:v>
                </c:pt>
                <c:pt idx="179">
                  <c:v>460.7</c:v>
                </c:pt>
                <c:pt idx="180">
                  <c:v>716.62</c:v>
                </c:pt>
                <c:pt idx="181">
                  <c:v>2295.8000000000002</c:v>
                </c:pt>
                <c:pt idx="182">
                  <c:v>716.62</c:v>
                </c:pt>
                <c:pt idx="183">
                  <c:v>1433.24</c:v>
                </c:pt>
                <c:pt idx="184">
                  <c:v>358.31</c:v>
                </c:pt>
                <c:pt idx="185">
                  <c:v>358.31</c:v>
                </c:pt>
                <c:pt idx="186">
                  <c:v>1433.24</c:v>
                </c:pt>
                <c:pt idx="187">
                  <c:v>716.62</c:v>
                </c:pt>
                <c:pt idx="188">
                  <c:v>358.31</c:v>
                </c:pt>
                <c:pt idx="189">
                  <c:v>1665.3999999999999</c:v>
                </c:pt>
                <c:pt idx="190">
                  <c:v>635.34</c:v>
                </c:pt>
                <c:pt idx="191">
                  <c:v>597.20000000000005</c:v>
                </c:pt>
                <c:pt idx="192">
                  <c:v>1286.9000000000001</c:v>
                </c:pt>
                <c:pt idx="193">
                  <c:v>755.76</c:v>
                </c:pt>
                <c:pt idx="194">
                  <c:v>188.94</c:v>
                </c:pt>
                <c:pt idx="195">
                  <c:v>188.94</c:v>
                </c:pt>
                <c:pt idx="196">
                  <c:v>944.7</c:v>
                </c:pt>
                <c:pt idx="197">
                  <c:v>188.94</c:v>
                </c:pt>
                <c:pt idx="198">
                  <c:v>802.84999999999991</c:v>
                </c:pt>
                <c:pt idx="199">
                  <c:v>160.57</c:v>
                </c:pt>
                <c:pt idx="200">
                  <c:v>160.57</c:v>
                </c:pt>
                <c:pt idx="201">
                  <c:v>321.14</c:v>
                </c:pt>
                <c:pt idx="202">
                  <c:v>321.14</c:v>
                </c:pt>
                <c:pt idx="203">
                  <c:v>2189.25</c:v>
                </c:pt>
                <c:pt idx="204">
                  <c:v>1750.28</c:v>
                </c:pt>
                <c:pt idx="205">
                  <c:v>1311.99</c:v>
                </c:pt>
                <c:pt idx="206">
                  <c:v>642.28</c:v>
                </c:pt>
                <c:pt idx="207">
                  <c:v>862.8</c:v>
                </c:pt>
                <c:pt idx="208">
                  <c:v>849.44</c:v>
                </c:pt>
                <c:pt idx="209">
                  <c:v>1698.88</c:v>
                </c:pt>
                <c:pt idx="210">
                  <c:v>160.57</c:v>
                </c:pt>
                <c:pt idx="211">
                  <c:v>422.92</c:v>
                </c:pt>
                <c:pt idx="212">
                  <c:v>823.54</c:v>
                </c:pt>
                <c:pt idx="213">
                  <c:v>642.28</c:v>
                </c:pt>
                <c:pt idx="214">
                  <c:v>1234.71</c:v>
                </c:pt>
                <c:pt idx="215">
                  <c:v>1646.28</c:v>
                </c:pt>
                <c:pt idx="216">
                  <c:v>411.57</c:v>
                </c:pt>
                <c:pt idx="217">
                  <c:v>321.14</c:v>
                </c:pt>
                <c:pt idx="218">
                  <c:v>1220.0999999999999</c:v>
                </c:pt>
                <c:pt idx="219">
                  <c:v>1220.01</c:v>
                </c:pt>
                <c:pt idx="220">
                  <c:v>321.14</c:v>
                </c:pt>
                <c:pt idx="221">
                  <c:v>160.57</c:v>
                </c:pt>
                <c:pt idx="222">
                  <c:v>321.14</c:v>
                </c:pt>
                <c:pt idx="223">
                  <c:v>1993.6000000000001</c:v>
                </c:pt>
                <c:pt idx="224">
                  <c:v>397.93</c:v>
                </c:pt>
                <c:pt idx="225">
                  <c:v>1182.42</c:v>
                </c:pt>
                <c:pt idx="226">
                  <c:v>394.14</c:v>
                </c:pt>
                <c:pt idx="227">
                  <c:v>771.7</c:v>
                </c:pt>
                <c:pt idx="228">
                  <c:v>1522.8</c:v>
                </c:pt>
                <c:pt idx="229">
                  <c:v>378.36</c:v>
                </c:pt>
                <c:pt idx="230">
                  <c:v>377.04</c:v>
                </c:pt>
                <c:pt idx="231">
                  <c:v>372.73</c:v>
                </c:pt>
                <c:pt idx="232">
                  <c:v>370.13</c:v>
                </c:pt>
                <c:pt idx="233">
                  <c:v>802.84999999999991</c:v>
                </c:pt>
                <c:pt idx="234">
                  <c:v>642.28</c:v>
                </c:pt>
                <c:pt idx="235">
                  <c:v>321.14</c:v>
                </c:pt>
                <c:pt idx="236">
                  <c:v>1815.75</c:v>
                </c:pt>
                <c:pt idx="237">
                  <c:v>321.14</c:v>
                </c:pt>
                <c:pt idx="238">
                  <c:v>160.57</c:v>
                </c:pt>
                <c:pt idx="239">
                  <c:v>802.84999999999991</c:v>
                </c:pt>
                <c:pt idx="240">
                  <c:v>481.71</c:v>
                </c:pt>
                <c:pt idx="241">
                  <c:v>154.19999999999999</c:v>
                </c:pt>
                <c:pt idx="242">
                  <c:v>30.84</c:v>
                </c:pt>
                <c:pt idx="243">
                  <c:v>91.44</c:v>
                </c:pt>
                <c:pt idx="244">
                  <c:v>1544.42</c:v>
                </c:pt>
                <c:pt idx="245">
                  <c:v>1133.3599999999999</c:v>
                </c:pt>
                <c:pt idx="246">
                  <c:v>719.2</c:v>
                </c:pt>
                <c:pt idx="247">
                  <c:v>2266.7199999999998</c:v>
                </c:pt>
                <c:pt idx="248">
                  <c:v>3602.56</c:v>
                </c:pt>
                <c:pt idx="249">
                  <c:v>2701.92</c:v>
                </c:pt>
                <c:pt idx="250">
                  <c:v>4503.2</c:v>
                </c:pt>
                <c:pt idx="251">
                  <c:v>771.94</c:v>
                </c:pt>
                <c:pt idx="252">
                  <c:v>717.39</c:v>
                </c:pt>
                <c:pt idx="253">
                  <c:v>1434.78</c:v>
                </c:pt>
                <c:pt idx="254">
                  <c:v>2152.17</c:v>
                </c:pt>
                <c:pt idx="255">
                  <c:v>1286.46</c:v>
                </c:pt>
                <c:pt idx="256">
                  <c:v>1177.8399999999999</c:v>
                </c:pt>
                <c:pt idx="257">
                  <c:v>1425</c:v>
                </c:pt>
                <c:pt idx="258">
                  <c:v>1404.4</c:v>
                </c:pt>
                <c:pt idx="259">
                  <c:v>694.98</c:v>
                </c:pt>
                <c:pt idx="260">
                  <c:v>1041.72</c:v>
                </c:pt>
                <c:pt idx="261">
                  <c:v>1670.5500000000002</c:v>
                </c:pt>
                <c:pt idx="262">
                  <c:v>334.11</c:v>
                </c:pt>
                <c:pt idx="263">
                  <c:v>1336.44</c:v>
                </c:pt>
                <c:pt idx="264">
                  <c:v>2895.7</c:v>
                </c:pt>
                <c:pt idx="265">
                  <c:v>1286.92</c:v>
                </c:pt>
                <c:pt idx="266">
                  <c:v>1509.27</c:v>
                </c:pt>
                <c:pt idx="267">
                  <c:v>1006.18</c:v>
                </c:pt>
                <c:pt idx="268">
                  <c:v>617.72</c:v>
                </c:pt>
                <c:pt idx="269">
                  <c:v>1234.52</c:v>
                </c:pt>
                <c:pt idx="270">
                  <c:v>925.89</c:v>
                </c:pt>
                <c:pt idx="271">
                  <c:v>1234.44</c:v>
                </c:pt>
                <c:pt idx="272">
                  <c:v>1543.0500000000002</c:v>
                </c:pt>
                <c:pt idx="273">
                  <c:v>1234.44</c:v>
                </c:pt>
                <c:pt idx="274">
                  <c:v>1234.44</c:v>
                </c:pt>
                <c:pt idx="275">
                  <c:v>1233.8</c:v>
                </c:pt>
                <c:pt idx="276">
                  <c:v>308.45</c:v>
                </c:pt>
                <c:pt idx="277">
                  <c:v>925.34999999999991</c:v>
                </c:pt>
                <c:pt idx="278">
                  <c:v>977.6</c:v>
                </c:pt>
                <c:pt idx="279">
                  <c:v>488.8</c:v>
                </c:pt>
                <c:pt idx="280">
                  <c:v>607.48</c:v>
                </c:pt>
                <c:pt idx="281">
                  <c:v>2444</c:v>
                </c:pt>
                <c:pt idx="282">
                  <c:v>597.66</c:v>
                </c:pt>
                <c:pt idx="283">
                  <c:v>1466.4</c:v>
                </c:pt>
                <c:pt idx="284">
                  <c:v>881.09999999999991</c:v>
                </c:pt>
                <c:pt idx="285">
                  <c:v>1468.45</c:v>
                </c:pt>
                <c:pt idx="286">
                  <c:v>488.8</c:v>
                </c:pt>
                <c:pt idx="287">
                  <c:v>977.6</c:v>
                </c:pt>
                <c:pt idx="288">
                  <c:v>2444</c:v>
                </c:pt>
                <c:pt idx="289">
                  <c:v>1415.6</c:v>
                </c:pt>
                <c:pt idx="290">
                  <c:v>283.08999999999997</c:v>
                </c:pt>
                <c:pt idx="291">
                  <c:v>848.67</c:v>
                </c:pt>
                <c:pt idx="292">
                  <c:v>563.41999999999996</c:v>
                </c:pt>
                <c:pt idx="293">
                  <c:v>561.14</c:v>
                </c:pt>
                <c:pt idx="294">
                  <c:v>829.47</c:v>
                </c:pt>
                <c:pt idx="295">
                  <c:v>488.8</c:v>
                </c:pt>
                <c:pt idx="296">
                  <c:v>977.6</c:v>
                </c:pt>
                <c:pt idx="297">
                  <c:v>2444</c:v>
                </c:pt>
                <c:pt idx="298">
                  <c:v>921</c:v>
                </c:pt>
                <c:pt idx="299">
                  <c:v>1698.8</c:v>
                </c:pt>
                <c:pt idx="300">
                  <c:v>1234.77</c:v>
                </c:pt>
                <c:pt idx="301">
                  <c:v>1197.78</c:v>
                </c:pt>
                <c:pt idx="302">
                  <c:v>1196.8499999999999</c:v>
                </c:pt>
                <c:pt idx="303">
                  <c:v>1196.8499999999999</c:v>
                </c:pt>
                <c:pt idx="304">
                  <c:v>1108.3499999999999</c:v>
                </c:pt>
                <c:pt idx="305">
                  <c:v>738.9</c:v>
                </c:pt>
                <c:pt idx="306">
                  <c:v>1477.8</c:v>
                </c:pt>
                <c:pt idx="307">
                  <c:v>724.58</c:v>
                </c:pt>
                <c:pt idx="308">
                  <c:v>1086.8700000000001</c:v>
                </c:pt>
                <c:pt idx="309">
                  <c:v>1086.8700000000001</c:v>
                </c:pt>
                <c:pt idx="310">
                  <c:v>1091.2</c:v>
                </c:pt>
                <c:pt idx="311">
                  <c:v>1362.7</c:v>
                </c:pt>
                <c:pt idx="312">
                  <c:v>1348.8999999999999</c:v>
                </c:pt>
                <c:pt idx="313">
                  <c:v>809.33999999999992</c:v>
                </c:pt>
                <c:pt idx="314">
                  <c:v>809.33999999999992</c:v>
                </c:pt>
                <c:pt idx="315">
                  <c:v>1071.8399999999999</c:v>
                </c:pt>
                <c:pt idx="316">
                  <c:v>1064</c:v>
                </c:pt>
                <c:pt idx="317">
                  <c:v>530.78</c:v>
                </c:pt>
                <c:pt idx="318">
                  <c:v>1311.5</c:v>
                </c:pt>
                <c:pt idx="319">
                  <c:v>1811.45</c:v>
                </c:pt>
                <c:pt idx="320">
                  <c:v>1302.6499999999999</c:v>
                </c:pt>
                <c:pt idx="321">
                  <c:v>1086.8700000000001</c:v>
                </c:pt>
                <c:pt idx="322">
                  <c:v>1811.45</c:v>
                </c:pt>
                <c:pt idx="323">
                  <c:v>1029.52</c:v>
                </c:pt>
                <c:pt idx="324">
                  <c:v>1029.52</c:v>
                </c:pt>
                <c:pt idx="325">
                  <c:v>771.44999999999993</c:v>
                </c:pt>
                <c:pt idx="326">
                  <c:v>257.14999999999998</c:v>
                </c:pt>
                <c:pt idx="327">
                  <c:v>771.36</c:v>
                </c:pt>
                <c:pt idx="328">
                  <c:v>770.22</c:v>
                </c:pt>
                <c:pt idx="329">
                  <c:v>770.22</c:v>
                </c:pt>
                <c:pt idx="330">
                  <c:v>254.78</c:v>
                </c:pt>
                <c:pt idx="331">
                  <c:v>509.42</c:v>
                </c:pt>
                <c:pt idx="332">
                  <c:v>504.46</c:v>
                </c:pt>
                <c:pt idx="333">
                  <c:v>252.23</c:v>
                </c:pt>
                <c:pt idx="334">
                  <c:v>504.46</c:v>
                </c:pt>
                <c:pt idx="335">
                  <c:v>755.84999999999991</c:v>
                </c:pt>
                <c:pt idx="336">
                  <c:v>244.02</c:v>
                </c:pt>
                <c:pt idx="337">
                  <c:v>243.96</c:v>
                </c:pt>
                <c:pt idx="338">
                  <c:v>724.58</c:v>
                </c:pt>
                <c:pt idx="339">
                  <c:v>362.29</c:v>
                </c:pt>
                <c:pt idx="340">
                  <c:v>362.29</c:v>
                </c:pt>
                <c:pt idx="341">
                  <c:v>1255.1199999999999</c:v>
                </c:pt>
                <c:pt idx="342">
                  <c:v>1224.2</c:v>
                </c:pt>
                <c:pt idx="343">
                  <c:v>918.15000000000009</c:v>
                </c:pt>
                <c:pt idx="344">
                  <c:v>903.24</c:v>
                </c:pt>
                <c:pt idx="345">
                  <c:v>1163.28</c:v>
                </c:pt>
                <c:pt idx="346">
                  <c:v>581.64</c:v>
                </c:pt>
                <c:pt idx="347">
                  <c:v>1454.1</c:v>
                </c:pt>
                <c:pt idx="348">
                  <c:v>1101</c:v>
                </c:pt>
                <c:pt idx="349">
                  <c:v>1101</c:v>
                </c:pt>
                <c:pt idx="350">
                  <c:v>825.75</c:v>
                </c:pt>
                <c:pt idx="351">
                  <c:v>1376.25</c:v>
                </c:pt>
                <c:pt idx="352">
                  <c:v>1376.25</c:v>
                </c:pt>
                <c:pt idx="353">
                  <c:v>275.25</c:v>
                </c:pt>
                <c:pt idx="354">
                  <c:v>550.5</c:v>
                </c:pt>
                <c:pt idx="355">
                  <c:v>550.5</c:v>
                </c:pt>
                <c:pt idx="356">
                  <c:v>550.5</c:v>
                </c:pt>
                <c:pt idx="357">
                  <c:v>550.5</c:v>
                </c:pt>
                <c:pt idx="358">
                  <c:v>825.75</c:v>
                </c:pt>
                <c:pt idx="359">
                  <c:v>1101</c:v>
                </c:pt>
                <c:pt idx="360">
                  <c:v>825.75</c:v>
                </c:pt>
                <c:pt idx="361">
                  <c:v>273.56</c:v>
                </c:pt>
                <c:pt idx="362">
                  <c:v>273.56</c:v>
                </c:pt>
                <c:pt idx="363">
                  <c:v>784.94999999999993</c:v>
                </c:pt>
                <c:pt idx="364">
                  <c:v>1031.48</c:v>
                </c:pt>
                <c:pt idx="365">
                  <c:v>242.72</c:v>
                </c:pt>
                <c:pt idx="366">
                  <c:v>970.88</c:v>
                </c:pt>
                <c:pt idx="367">
                  <c:v>970.88</c:v>
                </c:pt>
                <c:pt idx="368">
                  <c:v>970.88</c:v>
                </c:pt>
                <c:pt idx="369">
                  <c:v>1213.5999999999999</c:v>
                </c:pt>
                <c:pt idx="370">
                  <c:v>718.08</c:v>
                </c:pt>
                <c:pt idx="371">
                  <c:v>703.5</c:v>
                </c:pt>
                <c:pt idx="372">
                  <c:v>926.56</c:v>
                </c:pt>
                <c:pt idx="373">
                  <c:v>1158.1999999999998</c:v>
                </c:pt>
                <c:pt idx="374">
                  <c:v>1158.1999999999998</c:v>
                </c:pt>
                <c:pt idx="375">
                  <c:v>926.56</c:v>
                </c:pt>
                <c:pt idx="376">
                  <c:v>463.28</c:v>
                </c:pt>
                <c:pt idx="377">
                  <c:v>230.93</c:v>
                </c:pt>
                <c:pt idx="378">
                  <c:v>230.93</c:v>
                </c:pt>
                <c:pt idx="379">
                  <c:v>461.86</c:v>
                </c:pt>
                <c:pt idx="380">
                  <c:v>1154.6500000000001</c:v>
                </c:pt>
                <c:pt idx="381">
                  <c:v>1154.6500000000001</c:v>
                </c:pt>
                <c:pt idx="382">
                  <c:v>485.44</c:v>
                </c:pt>
                <c:pt idx="383">
                  <c:v>1213.1500000000001</c:v>
                </c:pt>
                <c:pt idx="384">
                  <c:v>485.26</c:v>
                </c:pt>
                <c:pt idx="385">
                  <c:v>242.63</c:v>
                </c:pt>
                <c:pt idx="386">
                  <c:v>1213.1500000000001</c:v>
                </c:pt>
                <c:pt idx="387">
                  <c:v>1213.1500000000001</c:v>
                </c:pt>
                <c:pt idx="388">
                  <c:v>970.52</c:v>
                </c:pt>
                <c:pt idx="389">
                  <c:v>970.52</c:v>
                </c:pt>
                <c:pt idx="390">
                  <c:v>727.89</c:v>
                </c:pt>
                <c:pt idx="391">
                  <c:v>727.89</c:v>
                </c:pt>
                <c:pt idx="392">
                  <c:v>228.76</c:v>
                </c:pt>
                <c:pt idx="393">
                  <c:v>456.94</c:v>
                </c:pt>
                <c:pt idx="394">
                  <c:v>1135.1500000000001</c:v>
                </c:pt>
                <c:pt idx="395">
                  <c:v>225.83</c:v>
                </c:pt>
                <c:pt idx="396">
                  <c:v>224.6</c:v>
                </c:pt>
                <c:pt idx="397">
                  <c:v>727.89</c:v>
                </c:pt>
                <c:pt idx="398">
                  <c:v>970.52</c:v>
                </c:pt>
                <c:pt idx="399">
                  <c:v>485.26</c:v>
                </c:pt>
                <c:pt idx="400">
                  <c:v>485.26</c:v>
                </c:pt>
                <c:pt idx="401">
                  <c:v>242.63</c:v>
                </c:pt>
                <c:pt idx="402">
                  <c:v>446.34</c:v>
                </c:pt>
                <c:pt idx="403">
                  <c:v>1093.8500000000001</c:v>
                </c:pt>
                <c:pt idx="404">
                  <c:v>1093.8500000000001</c:v>
                </c:pt>
                <c:pt idx="405">
                  <c:v>1093.8500000000001</c:v>
                </c:pt>
                <c:pt idx="406">
                  <c:v>437.08</c:v>
                </c:pt>
                <c:pt idx="407">
                  <c:v>645.56999999999994</c:v>
                </c:pt>
                <c:pt idx="408">
                  <c:v>636.99</c:v>
                </c:pt>
                <c:pt idx="409">
                  <c:v>1060.5</c:v>
                </c:pt>
                <c:pt idx="410">
                  <c:v>424.16</c:v>
                </c:pt>
                <c:pt idx="411">
                  <c:v>848.32</c:v>
                </c:pt>
                <c:pt idx="412">
                  <c:v>424.16</c:v>
                </c:pt>
                <c:pt idx="413">
                  <c:v>636.24</c:v>
                </c:pt>
                <c:pt idx="414">
                  <c:v>636.24</c:v>
                </c:pt>
                <c:pt idx="415">
                  <c:v>212.08</c:v>
                </c:pt>
                <c:pt idx="416">
                  <c:v>847.68</c:v>
                </c:pt>
                <c:pt idx="417">
                  <c:v>423.84</c:v>
                </c:pt>
                <c:pt idx="418">
                  <c:v>847.68</c:v>
                </c:pt>
                <c:pt idx="419">
                  <c:v>210.79</c:v>
                </c:pt>
                <c:pt idx="420">
                  <c:v>209.79</c:v>
                </c:pt>
                <c:pt idx="421">
                  <c:v>206.96</c:v>
                </c:pt>
                <c:pt idx="422">
                  <c:v>205.67</c:v>
                </c:pt>
                <c:pt idx="423">
                  <c:v>205.67</c:v>
                </c:pt>
                <c:pt idx="424">
                  <c:v>1028.3499999999999</c:v>
                </c:pt>
                <c:pt idx="425">
                  <c:v>617.01</c:v>
                </c:pt>
                <c:pt idx="426">
                  <c:v>818.56</c:v>
                </c:pt>
                <c:pt idx="427">
                  <c:v>610.04999999999995</c:v>
                </c:pt>
                <c:pt idx="428">
                  <c:v>1015.45</c:v>
                </c:pt>
                <c:pt idx="429">
                  <c:v>406.18</c:v>
                </c:pt>
                <c:pt idx="430">
                  <c:v>406.18</c:v>
                </c:pt>
                <c:pt idx="431">
                  <c:v>609.27</c:v>
                </c:pt>
                <c:pt idx="432">
                  <c:v>203.09</c:v>
                </c:pt>
                <c:pt idx="433">
                  <c:v>203.09</c:v>
                </c:pt>
                <c:pt idx="434">
                  <c:v>1015.45</c:v>
                </c:pt>
                <c:pt idx="435">
                  <c:v>406.18</c:v>
                </c:pt>
                <c:pt idx="436">
                  <c:v>609.27</c:v>
                </c:pt>
                <c:pt idx="437">
                  <c:v>406.18</c:v>
                </c:pt>
                <c:pt idx="438">
                  <c:v>200.66</c:v>
                </c:pt>
                <c:pt idx="439">
                  <c:v>976.75</c:v>
                </c:pt>
                <c:pt idx="440">
                  <c:v>970.52</c:v>
                </c:pt>
                <c:pt idx="441">
                  <c:v>1213.1500000000001</c:v>
                </c:pt>
                <c:pt idx="442">
                  <c:v>485.26</c:v>
                </c:pt>
                <c:pt idx="443">
                  <c:v>242.63</c:v>
                </c:pt>
                <c:pt idx="444">
                  <c:v>970.52</c:v>
                </c:pt>
                <c:pt idx="445">
                  <c:v>242.63</c:v>
                </c:pt>
                <c:pt idx="446">
                  <c:v>778.4</c:v>
                </c:pt>
                <c:pt idx="447">
                  <c:v>1213.1500000000001</c:v>
                </c:pt>
                <c:pt idx="448">
                  <c:v>579.09</c:v>
                </c:pt>
                <c:pt idx="449">
                  <c:v>385.6</c:v>
                </c:pt>
                <c:pt idx="450">
                  <c:v>578.40000000000009</c:v>
                </c:pt>
                <c:pt idx="451">
                  <c:v>569.91</c:v>
                </c:pt>
                <c:pt idx="452">
                  <c:v>759.88</c:v>
                </c:pt>
                <c:pt idx="453">
                  <c:v>759.88</c:v>
                </c:pt>
                <c:pt idx="454">
                  <c:v>569.91</c:v>
                </c:pt>
                <c:pt idx="455">
                  <c:v>949.85</c:v>
                </c:pt>
                <c:pt idx="456">
                  <c:v>569.91</c:v>
                </c:pt>
                <c:pt idx="457">
                  <c:v>189.97</c:v>
                </c:pt>
                <c:pt idx="458">
                  <c:v>379.94</c:v>
                </c:pt>
                <c:pt idx="459">
                  <c:v>949.85</c:v>
                </c:pt>
                <c:pt idx="460">
                  <c:v>379.94</c:v>
                </c:pt>
                <c:pt idx="461">
                  <c:v>379.94</c:v>
                </c:pt>
                <c:pt idx="462">
                  <c:v>727.89</c:v>
                </c:pt>
                <c:pt idx="463">
                  <c:v>242.63</c:v>
                </c:pt>
                <c:pt idx="464">
                  <c:v>485.26</c:v>
                </c:pt>
                <c:pt idx="465">
                  <c:v>727.89</c:v>
                </c:pt>
                <c:pt idx="466">
                  <c:v>242.63</c:v>
                </c:pt>
                <c:pt idx="467">
                  <c:v>558.33000000000004</c:v>
                </c:pt>
                <c:pt idx="468">
                  <c:v>929.25</c:v>
                </c:pt>
                <c:pt idx="469">
                  <c:v>180.16</c:v>
                </c:pt>
                <c:pt idx="470">
                  <c:v>720.64</c:v>
                </c:pt>
                <c:pt idx="471">
                  <c:v>540.48</c:v>
                </c:pt>
                <c:pt idx="472">
                  <c:v>538.23</c:v>
                </c:pt>
                <c:pt idx="473">
                  <c:v>895.6</c:v>
                </c:pt>
                <c:pt idx="474">
                  <c:v>894.5</c:v>
                </c:pt>
                <c:pt idx="475">
                  <c:v>715.48</c:v>
                </c:pt>
                <c:pt idx="476">
                  <c:v>178.87</c:v>
                </c:pt>
                <c:pt idx="477">
                  <c:v>715.48</c:v>
                </c:pt>
                <c:pt idx="478">
                  <c:v>894.35</c:v>
                </c:pt>
                <c:pt idx="479">
                  <c:v>715.48</c:v>
                </c:pt>
                <c:pt idx="480">
                  <c:v>531.81000000000006</c:v>
                </c:pt>
                <c:pt idx="481">
                  <c:v>531.81000000000006</c:v>
                </c:pt>
                <c:pt idx="482">
                  <c:v>886.35</c:v>
                </c:pt>
                <c:pt idx="483">
                  <c:v>709.08</c:v>
                </c:pt>
                <c:pt idx="484">
                  <c:v>709.08</c:v>
                </c:pt>
                <c:pt idx="485">
                  <c:v>880.19999999999993</c:v>
                </c:pt>
                <c:pt idx="486">
                  <c:v>525.12</c:v>
                </c:pt>
                <c:pt idx="487">
                  <c:v>175.01</c:v>
                </c:pt>
                <c:pt idx="488">
                  <c:v>517.38</c:v>
                </c:pt>
                <c:pt idx="489">
                  <c:v>862.30000000000007</c:v>
                </c:pt>
                <c:pt idx="490">
                  <c:v>1149.5</c:v>
                </c:pt>
                <c:pt idx="491">
                  <c:v>919.6</c:v>
                </c:pt>
                <c:pt idx="492">
                  <c:v>919.6</c:v>
                </c:pt>
                <c:pt idx="493">
                  <c:v>919.6</c:v>
                </c:pt>
                <c:pt idx="494">
                  <c:v>459.8</c:v>
                </c:pt>
                <c:pt idx="495">
                  <c:v>919.6</c:v>
                </c:pt>
                <c:pt idx="496">
                  <c:v>689.7</c:v>
                </c:pt>
                <c:pt idx="497">
                  <c:v>689.7</c:v>
                </c:pt>
                <c:pt idx="498">
                  <c:v>459.8</c:v>
                </c:pt>
                <c:pt idx="499">
                  <c:v>1149.5</c:v>
                </c:pt>
                <c:pt idx="500">
                  <c:v>895.8</c:v>
                </c:pt>
                <c:pt idx="501">
                  <c:v>447.9</c:v>
                </c:pt>
                <c:pt idx="502">
                  <c:v>223.95</c:v>
                </c:pt>
                <c:pt idx="503">
                  <c:v>895.8</c:v>
                </c:pt>
                <c:pt idx="504">
                  <c:v>671.84999999999991</c:v>
                </c:pt>
                <c:pt idx="505">
                  <c:v>780.24</c:v>
                </c:pt>
                <c:pt idx="506">
                  <c:v>195.06</c:v>
                </c:pt>
                <c:pt idx="507">
                  <c:v>585.18000000000006</c:v>
                </c:pt>
                <c:pt idx="508">
                  <c:v>171.17</c:v>
                </c:pt>
                <c:pt idx="509">
                  <c:v>339.62</c:v>
                </c:pt>
                <c:pt idx="510">
                  <c:v>848.15</c:v>
                </c:pt>
                <c:pt idx="511">
                  <c:v>169.63</c:v>
                </c:pt>
                <c:pt idx="512">
                  <c:v>508.11</c:v>
                </c:pt>
                <c:pt idx="513">
                  <c:v>506.58000000000004</c:v>
                </c:pt>
                <c:pt idx="514">
                  <c:v>334.62</c:v>
                </c:pt>
                <c:pt idx="515">
                  <c:v>669.16</c:v>
                </c:pt>
                <c:pt idx="516">
                  <c:v>668.44</c:v>
                </c:pt>
                <c:pt idx="517">
                  <c:v>334.12</c:v>
                </c:pt>
                <c:pt idx="518">
                  <c:v>835.3</c:v>
                </c:pt>
                <c:pt idx="519">
                  <c:v>832.05</c:v>
                </c:pt>
                <c:pt idx="520">
                  <c:v>329.9</c:v>
                </c:pt>
                <c:pt idx="521">
                  <c:v>824.75</c:v>
                </c:pt>
                <c:pt idx="522">
                  <c:v>494.84999999999997</c:v>
                </c:pt>
                <c:pt idx="523">
                  <c:v>329.9</c:v>
                </c:pt>
                <c:pt idx="524">
                  <c:v>329.9</c:v>
                </c:pt>
                <c:pt idx="525">
                  <c:v>658.84</c:v>
                </c:pt>
                <c:pt idx="526">
                  <c:v>390.12</c:v>
                </c:pt>
                <c:pt idx="527">
                  <c:v>585.18000000000006</c:v>
                </c:pt>
                <c:pt idx="528">
                  <c:v>585.18000000000006</c:v>
                </c:pt>
                <c:pt idx="529">
                  <c:v>773.04</c:v>
                </c:pt>
                <c:pt idx="530">
                  <c:v>516.68999999999994</c:v>
                </c:pt>
                <c:pt idx="531">
                  <c:v>861.15</c:v>
                </c:pt>
                <c:pt idx="532">
                  <c:v>688.92</c:v>
                </c:pt>
                <c:pt idx="533">
                  <c:v>516.68999999999994</c:v>
                </c:pt>
                <c:pt idx="534">
                  <c:v>172.23</c:v>
                </c:pt>
                <c:pt idx="535">
                  <c:v>861.15</c:v>
                </c:pt>
                <c:pt idx="536">
                  <c:v>344.46</c:v>
                </c:pt>
                <c:pt idx="537">
                  <c:v>344.46</c:v>
                </c:pt>
                <c:pt idx="538">
                  <c:v>516.68999999999994</c:v>
                </c:pt>
                <c:pt idx="539">
                  <c:v>344.46</c:v>
                </c:pt>
                <c:pt idx="540">
                  <c:v>344.46</c:v>
                </c:pt>
                <c:pt idx="541">
                  <c:v>344.46</c:v>
                </c:pt>
                <c:pt idx="542">
                  <c:v>344.46</c:v>
                </c:pt>
                <c:pt idx="543">
                  <c:v>688.92</c:v>
                </c:pt>
                <c:pt idx="544">
                  <c:v>344.46</c:v>
                </c:pt>
                <c:pt idx="545">
                  <c:v>474.15000000000003</c:v>
                </c:pt>
                <c:pt idx="546">
                  <c:v>154.44</c:v>
                </c:pt>
                <c:pt idx="547">
                  <c:v>462.57</c:v>
                </c:pt>
                <c:pt idx="548">
                  <c:v>616.76</c:v>
                </c:pt>
                <c:pt idx="549">
                  <c:v>308.32</c:v>
                </c:pt>
                <c:pt idx="550">
                  <c:v>344.46</c:v>
                </c:pt>
                <c:pt idx="551">
                  <c:v>302.2</c:v>
                </c:pt>
                <c:pt idx="552">
                  <c:v>452.90999999999997</c:v>
                </c:pt>
                <c:pt idx="553">
                  <c:v>301.94</c:v>
                </c:pt>
                <c:pt idx="554">
                  <c:v>301.94</c:v>
                </c:pt>
                <c:pt idx="555">
                  <c:v>301.89999999999998</c:v>
                </c:pt>
                <c:pt idx="556">
                  <c:v>600.16</c:v>
                </c:pt>
                <c:pt idx="557">
                  <c:v>440.54999999999995</c:v>
                </c:pt>
                <c:pt idx="558">
                  <c:v>726.80000000000007</c:v>
                </c:pt>
                <c:pt idx="559">
                  <c:v>144.12</c:v>
                </c:pt>
                <c:pt idx="560">
                  <c:v>571.36</c:v>
                </c:pt>
                <c:pt idx="561">
                  <c:v>707.75</c:v>
                </c:pt>
                <c:pt idx="562">
                  <c:v>704.09999999999991</c:v>
                </c:pt>
                <c:pt idx="563">
                  <c:v>172.23</c:v>
                </c:pt>
                <c:pt idx="564">
                  <c:v>172.22</c:v>
                </c:pt>
                <c:pt idx="565">
                  <c:v>616.64</c:v>
                </c:pt>
                <c:pt idx="566">
                  <c:v>139.68</c:v>
                </c:pt>
                <c:pt idx="567">
                  <c:v>558.72</c:v>
                </c:pt>
                <c:pt idx="568">
                  <c:v>698.40000000000009</c:v>
                </c:pt>
                <c:pt idx="569">
                  <c:v>558.72</c:v>
                </c:pt>
                <c:pt idx="570">
                  <c:v>279.36</c:v>
                </c:pt>
                <c:pt idx="571">
                  <c:v>419.04</c:v>
                </c:pt>
                <c:pt idx="572">
                  <c:v>558.72</c:v>
                </c:pt>
                <c:pt idx="573">
                  <c:v>558.72</c:v>
                </c:pt>
                <c:pt idx="574">
                  <c:v>419.04</c:v>
                </c:pt>
                <c:pt idx="575">
                  <c:v>419.04</c:v>
                </c:pt>
                <c:pt idx="576">
                  <c:v>139.63999999999999</c:v>
                </c:pt>
                <c:pt idx="577">
                  <c:v>139.63999999999999</c:v>
                </c:pt>
                <c:pt idx="578">
                  <c:v>138.71</c:v>
                </c:pt>
                <c:pt idx="579">
                  <c:v>693.55000000000007</c:v>
                </c:pt>
                <c:pt idx="580">
                  <c:v>548.72</c:v>
                </c:pt>
                <c:pt idx="581">
                  <c:v>408.51</c:v>
                </c:pt>
                <c:pt idx="582">
                  <c:v>270.02</c:v>
                </c:pt>
                <c:pt idx="583">
                  <c:v>135.01</c:v>
                </c:pt>
                <c:pt idx="584">
                  <c:v>401.49</c:v>
                </c:pt>
                <c:pt idx="585">
                  <c:v>279.27999999999997</c:v>
                </c:pt>
                <c:pt idx="586">
                  <c:v>558.55999999999995</c:v>
                </c:pt>
                <c:pt idx="587">
                  <c:v>558.55999999999995</c:v>
                </c:pt>
                <c:pt idx="588">
                  <c:v>514.72</c:v>
                </c:pt>
                <c:pt idx="589">
                  <c:v>514.72</c:v>
                </c:pt>
                <c:pt idx="590">
                  <c:v>657.65</c:v>
                </c:pt>
                <c:pt idx="591">
                  <c:v>657.65</c:v>
                </c:pt>
                <c:pt idx="592">
                  <c:v>657.65</c:v>
                </c:pt>
                <c:pt idx="593">
                  <c:v>256.83999999999997</c:v>
                </c:pt>
                <c:pt idx="594">
                  <c:v>256.83999999999997</c:v>
                </c:pt>
                <c:pt idx="595">
                  <c:v>256.83999999999997</c:v>
                </c:pt>
                <c:pt idx="596">
                  <c:v>513.67999999999995</c:v>
                </c:pt>
                <c:pt idx="597">
                  <c:v>513.67999999999995</c:v>
                </c:pt>
                <c:pt idx="598">
                  <c:v>513.67999999999995</c:v>
                </c:pt>
                <c:pt idx="599">
                  <c:v>256.83999999999997</c:v>
                </c:pt>
                <c:pt idx="600">
                  <c:v>385.26</c:v>
                </c:pt>
                <c:pt idx="601">
                  <c:v>256.83999999999997</c:v>
                </c:pt>
                <c:pt idx="602">
                  <c:v>385.26</c:v>
                </c:pt>
                <c:pt idx="603">
                  <c:v>256.83999999999997</c:v>
                </c:pt>
                <c:pt idx="604">
                  <c:v>642.09999999999991</c:v>
                </c:pt>
                <c:pt idx="605">
                  <c:v>128.41999999999999</c:v>
                </c:pt>
                <c:pt idx="606">
                  <c:v>128.41999999999999</c:v>
                </c:pt>
                <c:pt idx="607">
                  <c:v>128.41999999999999</c:v>
                </c:pt>
                <c:pt idx="608">
                  <c:v>513.67999999999995</c:v>
                </c:pt>
                <c:pt idx="609">
                  <c:v>385.26</c:v>
                </c:pt>
                <c:pt idx="610">
                  <c:v>642.09999999999991</c:v>
                </c:pt>
                <c:pt idx="611">
                  <c:v>385.26</c:v>
                </c:pt>
                <c:pt idx="612">
                  <c:v>642.09999999999991</c:v>
                </c:pt>
                <c:pt idx="613">
                  <c:v>128.41999999999999</c:v>
                </c:pt>
                <c:pt idx="614">
                  <c:v>642.09999999999991</c:v>
                </c:pt>
                <c:pt idx="615">
                  <c:v>256.83999999999997</c:v>
                </c:pt>
                <c:pt idx="616">
                  <c:v>128.41999999999999</c:v>
                </c:pt>
                <c:pt idx="617">
                  <c:v>256.83999999999997</c:v>
                </c:pt>
                <c:pt idx="618">
                  <c:v>128.41999999999999</c:v>
                </c:pt>
                <c:pt idx="619">
                  <c:v>513.67999999999995</c:v>
                </c:pt>
                <c:pt idx="620">
                  <c:v>642.09999999999991</c:v>
                </c:pt>
                <c:pt idx="621">
                  <c:v>513.67999999999995</c:v>
                </c:pt>
                <c:pt idx="622">
                  <c:v>385.26</c:v>
                </c:pt>
                <c:pt idx="623">
                  <c:v>385.26</c:v>
                </c:pt>
                <c:pt idx="624">
                  <c:v>128.41999999999999</c:v>
                </c:pt>
                <c:pt idx="625">
                  <c:v>128.41999999999999</c:v>
                </c:pt>
                <c:pt idx="626">
                  <c:v>256.83999999999997</c:v>
                </c:pt>
                <c:pt idx="627">
                  <c:v>256.83999999999997</c:v>
                </c:pt>
                <c:pt idx="628">
                  <c:v>642.09999999999991</c:v>
                </c:pt>
                <c:pt idx="629">
                  <c:v>642.09999999999991</c:v>
                </c:pt>
                <c:pt idx="630">
                  <c:v>385.26</c:v>
                </c:pt>
                <c:pt idx="631">
                  <c:v>642.09999999999991</c:v>
                </c:pt>
                <c:pt idx="632">
                  <c:v>128.41999999999999</c:v>
                </c:pt>
                <c:pt idx="633">
                  <c:v>256.83999999999997</c:v>
                </c:pt>
                <c:pt idx="634">
                  <c:v>128.41999999999999</c:v>
                </c:pt>
                <c:pt idx="635">
                  <c:v>254.78</c:v>
                </c:pt>
                <c:pt idx="636">
                  <c:v>502.44</c:v>
                </c:pt>
                <c:pt idx="637">
                  <c:v>502.44</c:v>
                </c:pt>
                <c:pt idx="638">
                  <c:v>125.61</c:v>
                </c:pt>
                <c:pt idx="639">
                  <c:v>619.04999999999995</c:v>
                </c:pt>
                <c:pt idx="640">
                  <c:v>617.79999999999995</c:v>
                </c:pt>
                <c:pt idx="641">
                  <c:v>366.42</c:v>
                </c:pt>
                <c:pt idx="642">
                  <c:v>121.24</c:v>
                </c:pt>
                <c:pt idx="643">
                  <c:v>604.9</c:v>
                </c:pt>
                <c:pt idx="644">
                  <c:v>482.88</c:v>
                </c:pt>
                <c:pt idx="645">
                  <c:v>119.95</c:v>
                </c:pt>
                <c:pt idx="646">
                  <c:v>119.95</c:v>
                </c:pt>
                <c:pt idx="647">
                  <c:v>237.8</c:v>
                </c:pt>
                <c:pt idx="648">
                  <c:v>590.05000000000007</c:v>
                </c:pt>
                <c:pt idx="649">
                  <c:v>463.32</c:v>
                </c:pt>
                <c:pt idx="650">
                  <c:v>463.24</c:v>
                </c:pt>
                <c:pt idx="651">
                  <c:v>462.32</c:v>
                </c:pt>
                <c:pt idx="652">
                  <c:v>461.28</c:v>
                </c:pt>
                <c:pt idx="653">
                  <c:v>458.52</c:v>
                </c:pt>
                <c:pt idx="654">
                  <c:v>335.90999999999997</c:v>
                </c:pt>
                <c:pt idx="655">
                  <c:v>221.36</c:v>
                </c:pt>
                <c:pt idx="656">
                  <c:v>513.67999999999995</c:v>
                </c:pt>
                <c:pt idx="657">
                  <c:v>256.83999999999997</c:v>
                </c:pt>
                <c:pt idx="658">
                  <c:v>513.67999999999995</c:v>
                </c:pt>
                <c:pt idx="659">
                  <c:v>438.64</c:v>
                </c:pt>
                <c:pt idx="660">
                  <c:v>110.36</c:v>
                </c:pt>
                <c:pt idx="661">
                  <c:v>544.9</c:v>
                </c:pt>
                <c:pt idx="662">
                  <c:v>326.94</c:v>
                </c:pt>
                <c:pt idx="663">
                  <c:v>108.11</c:v>
                </c:pt>
                <c:pt idx="664">
                  <c:v>220.72</c:v>
                </c:pt>
                <c:pt idx="665">
                  <c:v>220.72</c:v>
                </c:pt>
                <c:pt idx="666">
                  <c:v>109.36</c:v>
                </c:pt>
                <c:pt idx="667">
                  <c:v>106.98</c:v>
                </c:pt>
                <c:pt idx="668">
                  <c:v>213.08</c:v>
                </c:pt>
                <c:pt idx="669">
                  <c:v>422.8</c:v>
                </c:pt>
                <c:pt idx="670">
                  <c:v>528.5</c:v>
                </c:pt>
                <c:pt idx="671">
                  <c:v>422.8</c:v>
                </c:pt>
                <c:pt idx="672">
                  <c:v>528.5</c:v>
                </c:pt>
                <c:pt idx="673">
                  <c:v>422.8</c:v>
                </c:pt>
                <c:pt idx="674">
                  <c:v>210.04</c:v>
                </c:pt>
                <c:pt idx="675">
                  <c:v>411.76</c:v>
                </c:pt>
                <c:pt idx="676">
                  <c:v>514.70000000000005</c:v>
                </c:pt>
                <c:pt idx="677">
                  <c:v>512.9</c:v>
                </c:pt>
                <c:pt idx="678">
                  <c:v>410.32</c:v>
                </c:pt>
                <c:pt idx="679">
                  <c:v>537.25</c:v>
                </c:pt>
                <c:pt idx="680">
                  <c:v>100.47</c:v>
                </c:pt>
                <c:pt idx="681">
                  <c:v>301.17</c:v>
                </c:pt>
                <c:pt idx="682">
                  <c:v>501.95</c:v>
                </c:pt>
                <c:pt idx="683">
                  <c:v>200.78</c:v>
                </c:pt>
                <c:pt idx="684">
                  <c:v>200.72</c:v>
                </c:pt>
                <c:pt idx="685">
                  <c:v>500.65</c:v>
                </c:pt>
                <c:pt idx="686">
                  <c:v>495.5</c:v>
                </c:pt>
                <c:pt idx="687">
                  <c:v>97.79</c:v>
                </c:pt>
                <c:pt idx="688">
                  <c:v>290.01</c:v>
                </c:pt>
                <c:pt idx="689">
                  <c:v>96.67</c:v>
                </c:pt>
                <c:pt idx="690">
                  <c:v>474.90000000000003</c:v>
                </c:pt>
                <c:pt idx="691">
                  <c:v>378.8</c:v>
                </c:pt>
                <c:pt idx="692">
                  <c:v>283.98</c:v>
                </c:pt>
                <c:pt idx="693">
                  <c:v>377.88</c:v>
                </c:pt>
                <c:pt idx="694">
                  <c:v>187.02</c:v>
                </c:pt>
                <c:pt idx="695">
                  <c:v>92.41</c:v>
                </c:pt>
                <c:pt idx="696">
                  <c:v>91.61</c:v>
                </c:pt>
                <c:pt idx="697">
                  <c:v>182.76</c:v>
                </c:pt>
                <c:pt idx="698">
                  <c:v>91.34</c:v>
                </c:pt>
                <c:pt idx="699">
                  <c:v>361.76</c:v>
                </c:pt>
                <c:pt idx="700">
                  <c:v>90.07</c:v>
                </c:pt>
                <c:pt idx="701">
                  <c:v>90.07</c:v>
                </c:pt>
                <c:pt idx="702">
                  <c:v>359.36</c:v>
                </c:pt>
                <c:pt idx="703">
                  <c:v>322.35000000000002</c:v>
                </c:pt>
                <c:pt idx="704">
                  <c:v>537.25</c:v>
                </c:pt>
                <c:pt idx="705">
                  <c:v>202.32</c:v>
                </c:pt>
                <c:pt idx="706">
                  <c:v>353.16</c:v>
                </c:pt>
                <c:pt idx="707">
                  <c:v>437.59999999999997</c:v>
                </c:pt>
                <c:pt idx="708">
                  <c:v>87.26</c:v>
                </c:pt>
                <c:pt idx="709">
                  <c:v>435</c:v>
                </c:pt>
                <c:pt idx="710">
                  <c:v>431.15000000000003</c:v>
                </c:pt>
                <c:pt idx="711">
                  <c:v>344.92</c:v>
                </c:pt>
                <c:pt idx="712">
                  <c:v>258.69</c:v>
                </c:pt>
                <c:pt idx="713">
                  <c:v>257.43</c:v>
                </c:pt>
                <c:pt idx="714">
                  <c:v>339.76</c:v>
                </c:pt>
                <c:pt idx="715">
                  <c:v>169.38</c:v>
                </c:pt>
                <c:pt idx="716">
                  <c:v>422.15000000000003</c:v>
                </c:pt>
                <c:pt idx="717">
                  <c:v>253.29000000000002</c:v>
                </c:pt>
                <c:pt idx="718">
                  <c:v>165.26</c:v>
                </c:pt>
                <c:pt idx="719">
                  <c:v>411.70000000000005</c:v>
                </c:pt>
                <c:pt idx="720">
                  <c:v>81.86</c:v>
                </c:pt>
                <c:pt idx="721">
                  <c:v>321.04000000000002</c:v>
                </c:pt>
                <c:pt idx="722">
                  <c:v>79.02</c:v>
                </c:pt>
                <c:pt idx="723">
                  <c:v>314.04000000000002</c:v>
                </c:pt>
                <c:pt idx="724">
                  <c:v>77.739999999999995</c:v>
                </c:pt>
                <c:pt idx="725">
                  <c:v>77.63</c:v>
                </c:pt>
                <c:pt idx="726">
                  <c:v>155.26</c:v>
                </c:pt>
                <c:pt idx="727">
                  <c:v>154.44</c:v>
                </c:pt>
                <c:pt idx="728">
                  <c:v>231.51</c:v>
                </c:pt>
                <c:pt idx="729">
                  <c:v>152.6</c:v>
                </c:pt>
                <c:pt idx="730">
                  <c:v>303.76</c:v>
                </c:pt>
                <c:pt idx="731">
                  <c:v>151.82</c:v>
                </c:pt>
                <c:pt idx="732">
                  <c:v>75.38</c:v>
                </c:pt>
                <c:pt idx="733">
                  <c:v>75.16</c:v>
                </c:pt>
                <c:pt idx="734">
                  <c:v>146.72</c:v>
                </c:pt>
                <c:pt idx="735">
                  <c:v>365.5</c:v>
                </c:pt>
                <c:pt idx="736">
                  <c:v>289.32</c:v>
                </c:pt>
                <c:pt idx="737">
                  <c:v>72.069999999999993</c:v>
                </c:pt>
                <c:pt idx="738">
                  <c:v>71.900000000000006</c:v>
                </c:pt>
                <c:pt idx="739">
                  <c:v>71.819999999999993</c:v>
                </c:pt>
                <c:pt idx="740">
                  <c:v>71.819999999999993</c:v>
                </c:pt>
                <c:pt idx="741">
                  <c:v>71.56</c:v>
                </c:pt>
                <c:pt idx="742">
                  <c:v>212.37</c:v>
                </c:pt>
                <c:pt idx="743">
                  <c:v>70.790000000000006</c:v>
                </c:pt>
                <c:pt idx="744">
                  <c:v>281.60000000000002</c:v>
                </c:pt>
                <c:pt idx="745">
                  <c:v>281.08</c:v>
                </c:pt>
                <c:pt idx="746">
                  <c:v>351.34999999999997</c:v>
                </c:pt>
                <c:pt idx="747">
                  <c:v>276.95999999999998</c:v>
                </c:pt>
                <c:pt idx="748">
                  <c:v>276.95999999999998</c:v>
                </c:pt>
                <c:pt idx="749">
                  <c:v>207.71999999999997</c:v>
                </c:pt>
                <c:pt idx="750">
                  <c:v>207.24</c:v>
                </c:pt>
                <c:pt idx="751">
                  <c:v>136.63999999999999</c:v>
                </c:pt>
                <c:pt idx="752">
                  <c:v>337.2</c:v>
                </c:pt>
                <c:pt idx="753">
                  <c:v>202.20000000000002</c:v>
                </c:pt>
                <c:pt idx="754">
                  <c:v>133.86000000000001</c:v>
                </c:pt>
                <c:pt idx="755">
                  <c:v>267.72000000000003</c:v>
                </c:pt>
                <c:pt idx="756">
                  <c:v>441.45000000000005</c:v>
                </c:pt>
                <c:pt idx="757">
                  <c:v>88.29</c:v>
                </c:pt>
                <c:pt idx="758">
                  <c:v>133.80000000000001</c:v>
                </c:pt>
                <c:pt idx="759">
                  <c:v>133.74</c:v>
                </c:pt>
                <c:pt idx="760">
                  <c:v>200.61</c:v>
                </c:pt>
                <c:pt idx="761">
                  <c:v>265.64</c:v>
                </c:pt>
                <c:pt idx="762">
                  <c:v>261.52</c:v>
                </c:pt>
                <c:pt idx="763">
                  <c:v>130.56</c:v>
                </c:pt>
                <c:pt idx="764">
                  <c:v>259.12</c:v>
                </c:pt>
                <c:pt idx="765">
                  <c:v>129.22</c:v>
                </c:pt>
                <c:pt idx="766">
                  <c:v>256.68</c:v>
                </c:pt>
                <c:pt idx="767">
                  <c:v>352.96</c:v>
                </c:pt>
                <c:pt idx="768">
                  <c:v>334.5</c:v>
                </c:pt>
                <c:pt idx="769">
                  <c:v>133.80000000000001</c:v>
                </c:pt>
                <c:pt idx="770">
                  <c:v>319.20000000000005</c:v>
                </c:pt>
                <c:pt idx="771">
                  <c:v>62.81</c:v>
                </c:pt>
                <c:pt idx="772">
                  <c:v>125.56</c:v>
                </c:pt>
                <c:pt idx="773">
                  <c:v>250.2</c:v>
                </c:pt>
                <c:pt idx="774">
                  <c:v>61.75</c:v>
                </c:pt>
                <c:pt idx="775">
                  <c:v>123.5</c:v>
                </c:pt>
                <c:pt idx="776">
                  <c:v>184.95</c:v>
                </c:pt>
                <c:pt idx="777">
                  <c:v>184.95</c:v>
                </c:pt>
                <c:pt idx="778">
                  <c:v>123.3</c:v>
                </c:pt>
                <c:pt idx="779">
                  <c:v>308.25</c:v>
                </c:pt>
                <c:pt idx="780">
                  <c:v>123.3</c:v>
                </c:pt>
                <c:pt idx="781">
                  <c:v>246.6</c:v>
                </c:pt>
                <c:pt idx="782">
                  <c:v>246.6</c:v>
                </c:pt>
                <c:pt idx="783">
                  <c:v>308.25</c:v>
                </c:pt>
                <c:pt idx="784">
                  <c:v>244.04</c:v>
                </c:pt>
                <c:pt idx="785">
                  <c:v>59.72</c:v>
                </c:pt>
                <c:pt idx="786">
                  <c:v>295.89999999999998</c:v>
                </c:pt>
                <c:pt idx="787">
                  <c:v>59.13</c:v>
                </c:pt>
                <c:pt idx="788">
                  <c:v>231.68</c:v>
                </c:pt>
                <c:pt idx="789">
                  <c:v>173.76</c:v>
                </c:pt>
                <c:pt idx="790">
                  <c:v>283.15000000000003</c:v>
                </c:pt>
                <c:pt idx="791">
                  <c:v>226.4</c:v>
                </c:pt>
                <c:pt idx="792">
                  <c:v>283</c:v>
                </c:pt>
                <c:pt idx="793">
                  <c:v>225.48</c:v>
                </c:pt>
                <c:pt idx="794">
                  <c:v>169.05</c:v>
                </c:pt>
                <c:pt idx="795">
                  <c:v>112.58</c:v>
                </c:pt>
                <c:pt idx="796">
                  <c:v>223.44</c:v>
                </c:pt>
                <c:pt idx="797">
                  <c:v>223.44</c:v>
                </c:pt>
                <c:pt idx="798">
                  <c:v>166.02</c:v>
                </c:pt>
                <c:pt idx="799">
                  <c:v>54.83</c:v>
                </c:pt>
                <c:pt idx="800">
                  <c:v>162.75</c:v>
                </c:pt>
                <c:pt idx="801">
                  <c:v>270.3</c:v>
                </c:pt>
                <c:pt idx="802">
                  <c:v>53.8</c:v>
                </c:pt>
                <c:pt idx="803">
                  <c:v>52.92</c:v>
                </c:pt>
                <c:pt idx="804">
                  <c:v>263.85000000000002</c:v>
                </c:pt>
                <c:pt idx="805">
                  <c:v>156.69</c:v>
                </c:pt>
                <c:pt idx="806">
                  <c:v>52.2</c:v>
                </c:pt>
                <c:pt idx="807">
                  <c:v>257.39999999999998</c:v>
                </c:pt>
                <c:pt idx="808">
                  <c:v>51.22</c:v>
                </c:pt>
                <c:pt idx="809">
                  <c:v>153.66</c:v>
                </c:pt>
                <c:pt idx="810">
                  <c:v>100.9</c:v>
                </c:pt>
                <c:pt idx="811">
                  <c:v>99.88</c:v>
                </c:pt>
                <c:pt idx="812">
                  <c:v>99.64</c:v>
                </c:pt>
                <c:pt idx="813">
                  <c:v>49.68</c:v>
                </c:pt>
                <c:pt idx="814">
                  <c:v>146.64000000000001</c:v>
                </c:pt>
                <c:pt idx="815">
                  <c:v>194.48</c:v>
                </c:pt>
                <c:pt idx="816">
                  <c:v>241.85</c:v>
                </c:pt>
                <c:pt idx="817">
                  <c:v>145.02000000000001</c:v>
                </c:pt>
                <c:pt idx="818">
                  <c:v>142.85999999999999</c:v>
                </c:pt>
                <c:pt idx="819">
                  <c:v>189.44</c:v>
                </c:pt>
                <c:pt idx="820">
                  <c:v>138.99</c:v>
                </c:pt>
                <c:pt idx="821">
                  <c:v>46.31</c:v>
                </c:pt>
                <c:pt idx="822">
                  <c:v>185.24</c:v>
                </c:pt>
                <c:pt idx="823">
                  <c:v>45.84</c:v>
                </c:pt>
                <c:pt idx="824">
                  <c:v>45.82</c:v>
                </c:pt>
                <c:pt idx="825">
                  <c:v>183.28</c:v>
                </c:pt>
                <c:pt idx="826">
                  <c:v>183.28</c:v>
                </c:pt>
                <c:pt idx="827">
                  <c:v>45.52</c:v>
                </c:pt>
                <c:pt idx="828">
                  <c:v>135.14999999999998</c:v>
                </c:pt>
                <c:pt idx="829">
                  <c:v>135.14999999999998</c:v>
                </c:pt>
                <c:pt idx="830">
                  <c:v>219.89999999999998</c:v>
                </c:pt>
                <c:pt idx="831">
                  <c:v>218.79999999999998</c:v>
                </c:pt>
                <c:pt idx="832">
                  <c:v>43.73</c:v>
                </c:pt>
                <c:pt idx="833">
                  <c:v>43.73</c:v>
                </c:pt>
                <c:pt idx="834">
                  <c:v>131.19</c:v>
                </c:pt>
                <c:pt idx="835">
                  <c:v>217.5</c:v>
                </c:pt>
                <c:pt idx="836">
                  <c:v>64.02</c:v>
                </c:pt>
                <c:pt idx="837">
                  <c:v>216.20000000000002</c:v>
                </c:pt>
                <c:pt idx="838">
                  <c:v>85.98</c:v>
                </c:pt>
                <c:pt idx="839">
                  <c:v>128.97</c:v>
                </c:pt>
                <c:pt idx="840">
                  <c:v>128.97</c:v>
                </c:pt>
                <c:pt idx="841">
                  <c:v>127.41</c:v>
                </c:pt>
                <c:pt idx="842">
                  <c:v>169.88</c:v>
                </c:pt>
                <c:pt idx="843">
                  <c:v>84.94</c:v>
                </c:pt>
                <c:pt idx="844">
                  <c:v>169.88</c:v>
                </c:pt>
                <c:pt idx="845">
                  <c:v>41.96</c:v>
                </c:pt>
                <c:pt idx="846">
                  <c:v>165.76</c:v>
                </c:pt>
                <c:pt idx="847">
                  <c:v>164.76</c:v>
                </c:pt>
                <c:pt idx="848">
                  <c:v>123.57</c:v>
                </c:pt>
                <c:pt idx="849">
                  <c:v>205.95</c:v>
                </c:pt>
                <c:pt idx="850">
                  <c:v>41.18</c:v>
                </c:pt>
                <c:pt idx="851">
                  <c:v>82.32</c:v>
                </c:pt>
                <c:pt idx="852">
                  <c:v>82.22</c:v>
                </c:pt>
                <c:pt idx="853">
                  <c:v>122.78999999999999</c:v>
                </c:pt>
                <c:pt idx="854">
                  <c:v>163.72</c:v>
                </c:pt>
                <c:pt idx="855">
                  <c:v>122.78999999999999</c:v>
                </c:pt>
                <c:pt idx="856">
                  <c:v>81.86</c:v>
                </c:pt>
                <c:pt idx="857">
                  <c:v>204.5</c:v>
                </c:pt>
                <c:pt idx="858">
                  <c:v>200.79999999999998</c:v>
                </c:pt>
                <c:pt idx="859">
                  <c:v>120.27000000000001</c:v>
                </c:pt>
                <c:pt idx="860">
                  <c:v>120.27000000000001</c:v>
                </c:pt>
                <c:pt idx="861">
                  <c:v>160.36000000000001</c:v>
                </c:pt>
                <c:pt idx="862">
                  <c:v>159.6</c:v>
                </c:pt>
                <c:pt idx="863">
                  <c:v>78.760000000000005</c:v>
                </c:pt>
                <c:pt idx="864">
                  <c:v>118.14000000000001</c:v>
                </c:pt>
                <c:pt idx="865">
                  <c:v>78.760000000000005</c:v>
                </c:pt>
                <c:pt idx="866">
                  <c:v>118.14000000000001</c:v>
                </c:pt>
                <c:pt idx="867">
                  <c:v>39.380000000000003</c:v>
                </c:pt>
                <c:pt idx="868">
                  <c:v>196.9</c:v>
                </c:pt>
                <c:pt idx="869">
                  <c:v>196.8</c:v>
                </c:pt>
                <c:pt idx="870">
                  <c:v>157.19999999999999</c:v>
                </c:pt>
                <c:pt idx="871">
                  <c:v>196.25</c:v>
                </c:pt>
                <c:pt idx="872">
                  <c:v>194.35</c:v>
                </c:pt>
                <c:pt idx="873">
                  <c:v>115.77000000000001</c:v>
                </c:pt>
                <c:pt idx="874">
                  <c:v>191.75</c:v>
                </c:pt>
                <c:pt idx="875">
                  <c:v>153.4</c:v>
                </c:pt>
                <c:pt idx="876">
                  <c:v>76.7</c:v>
                </c:pt>
                <c:pt idx="877">
                  <c:v>76.7</c:v>
                </c:pt>
                <c:pt idx="878">
                  <c:v>191.75</c:v>
                </c:pt>
                <c:pt idx="879">
                  <c:v>114.84</c:v>
                </c:pt>
                <c:pt idx="880">
                  <c:v>152.76</c:v>
                </c:pt>
                <c:pt idx="881">
                  <c:v>114.30000000000001</c:v>
                </c:pt>
                <c:pt idx="882">
                  <c:v>148.28</c:v>
                </c:pt>
                <c:pt idx="883">
                  <c:v>73.62</c:v>
                </c:pt>
                <c:pt idx="884">
                  <c:v>145.16</c:v>
                </c:pt>
                <c:pt idx="885">
                  <c:v>72.14</c:v>
                </c:pt>
                <c:pt idx="886">
                  <c:v>180.04999999999998</c:v>
                </c:pt>
                <c:pt idx="887">
                  <c:v>35.78</c:v>
                </c:pt>
                <c:pt idx="888">
                  <c:v>141.04</c:v>
                </c:pt>
                <c:pt idx="889">
                  <c:v>70.48</c:v>
                </c:pt>
                <c:pt idx="890">
                  <c:v>104.88</c:v>
                </c:pt>
                <c:pt idx="891">
                  <c:v>139</c:v>
                </c:pt>
                <c:pt idx="892">
                  <c:v>173.75</c:v>
                </c:pt>
                <c:pt idx="893">
                  <c:v>69.5</c:v>
                </c:pt>
                <c:pt idx="894">
                  <c:v>69.5</c:v>
                </c:pt>
                <c:pt idx="895">
                  <c:v>69.5</c:v>
                </c:pt>
                <c:pt idx="896">
                  <c:v>139</c:v>
                </c:pt>
                <c:pt idx="897">
                  <c:v>100.32</c:v>
                </c:pt>
                <c:pt idx="898">
                  <c:v>66.42</c:v>
                </c:pt>
                <c:pt idx="899">
                  <c:v>164.35</c:v>
                </c:pt>
                <c:pt idx="900">
                  <c:v>65.38</c:v>
                </c:pt>
                <c:pt idx="901">
                  <c:v>65.38</c:v>
                </c:pt>
                <c:pt idx="902">
                  <c:v>130</c:v>
                </c:pt>
                <c:pt idx="903">
                  <c:v>160.9</c:v>
                </c:pt>
                <c:pt idx="904">
                  <c:v>96.51</c:v>
                </c:pt>
                <c:pt idx="905">
                  <c:v>95.76</c:v>
                </c:pt>
                <c:pt idx="906">
                  <c:v>63.82</c:v>
                </c:pt>
                <c:pt idx="907">
                  <c:v>154.44999999999999</c:v>
                </c:pt>
                <c:pt idx="908">
                  <c:v>192.06</c:v>
                </c:pt>
                <c:pt idx="909">
                  <c:v>64.02</c:v>
                </c:pt>
                <c:pt idx="910">
                  <c:v>30.76</c:v>
                </c:pt>
                <c:pt idx="911">
                  <c:v>151.85</c:v>
                </c:pt>
                <c:pt idx="912">
                  <c:v>151.80000000000001</c:v>
                </c:pt>
                <c:pt idx="913">
                  <c:v>151.69999999999999</c:v>
                </c:pt>
                <c:pt idx="914">
                  <c:v>217.15</c:v>
                </c:pt>
                <c:pt idx="915">
                  <c:v>29.6</c:v>
                </c:pt>
                <c:pt idx="916">
                  <c:v>147.89999999999998</c:v>
                </c:pt>
                <c:pt idx="917">
                  <c:v>88.74</c:v>
                </c:pt>
                <c:pt idx="918">
                  <c:v>59.16</c:v>
                </c:pt>
                <c:pt idx="919">
                  <c:v>118.32</c:v>
                </c:pt>
                <c:pt idx="920">
                  <c:v>147.89999999999998</c:v>
                </c:pt>
                <c:pt idx="921">
                  <c:v>88.74</c:v>
                </c:pt>
                <c:pt idx="922">
                  <c:v>88.74</c:v>
                </c:pt>
                <c:pt idx="923">
                  <c:v>147.89999999999998</c:v>
                </c:pt>
                <c:pt idx="924">
                  <c:v>118.32</c:v>
                </c:pt>
                <c:pt idx="925">
                  <c:v>29.58</c:v>
                </c:pt>
                <c:pt idx="926">
                  <c:v>145.80000000000001</c:v>
                </c:pt>
                <c:pt idx="927">
                  <c:v>28.29</c:v>
                </c:pt>
                <c:pt idx="928">
                  <c:v>113.16</c:v>
                </c:pt>
                <c:pt idx="929">
                  <c:v>28.29</c:v>
                </c:pt>
                <c:pt idx="930">
                  <c:v>140</c:v>
                </c:pt>
                <c:pt idx="931">
                  <c:v>102.84</c:v>
                </c:pt>
                <c:pt idx="932">
                  <c:v>25.71</c:v>
                </c:pt>
                <c:pt idx="933">
                  <c:v>128.55000000000001</c:v>
                </c:pt>
                <c:pt idx="934">
                  <c:v>77.13</c:v>
                </c:pt>
                <c:pt idx="935">
                  <c:v>25.71</c:v>
                </c:pt>
                <c:pt idx="936">
                  <c:v>25.56</c:v>
                </c:pt>
                <c:pt idx="937">
                  <c:v>76.44</c:v>
                </c:pt>
                <c:pt idx="938">
                  <c:v>25.48</c:v>
                </c:pt>
                <c:pt idx="939">
                  <c:v>73.89</c:v>
                </c:pt>
                <c:pt idx="940">
                  <c:v>48.86</c:v>
                </c:pt>
                <c:pt idx="941">
                  <c:v>115.60000000000001</c:v>
                </c:pt>
                <c:pt idx="942">
                  <c:v>115.25</c:v>
                </c:pt>
                <c:pt idx="943">
                  <c:v>114.55</c:v>
                </c:pt>
                <c:pt idx="944">
                  <c:v>68.73</c:v>
                </c:pt>
                <c:pt idx="945">
                  <c:v>119.44</c:v>
                </c:pt>
                <c:pt idx="946">
                  <c:v>68.400000000000006</c:v>
                </c:pt>
                <c:pt idx="947">
                  <c:v>45.6</c:v>
                </c:pt>
                <c:pt idx="948">
                  <c:v>45.6</c:v>
                </c:pt>
                <c:pt idx="949">
                  <c:v>22.8</c:v>
                </c:pt>
                <c:pt idx="950">
                  <c:v>91.2</c:v>
                </c:pt>
                <c:pt idx="951">
                  <c:v>91.2</c:v>
                </c:pt>
                <c:pt idx="952">
                  <c:v>22.8</c:v>
                </c:pt>
                <c:pt idx="953">
                  <c:v>68.400000000000006</c:v>
                </c:pt>
                <c:pt idx="954">
                  <c:v>22.8</c:v>
                </c:pt>
                <c:pt idx="955">
                  <c:v>111</c:v>
                </c:pt>
                <c:pt idx="956">
                  <c:v>21.85</c:v>
                </c:pt>
                <c:pt idx="957">
                  <c:v>108</c:v>
                </c:pt>
                <c:pt idx="958">
                  <c:v>20.57</c:v>
                </c:pt>
                <c:pt idx="959">
                  <c:v>82.28</c:v>
                </c:pt>
                <c:pt idx="960">
                  <c:v>40.68</c:v>
                </c:pt>
                <c:pt idx="961">
                  <c:v>20.05</c:v>
                </c:pt>
                <c:pt idx="962">
                  <c:v>75.48</c:v>
                </c:pt>
                <c:pt idx="963">
                  <c:v>92.65</c:v>
                </c:pt>
                <c:pt idx="964">
                  <c:v>69</c:v>
                </c:pt>
                <c:pt idx="965">
                  <c:v>34.299999999999997</c:v>
                </c:pt>
                <c:pt idx="966">
                  <c:v>83.65</c:v>
                </c:pt>
                <c:pt idx="967">
                  <c:v>49.230000000000004</c:v>
                </c:pt>
                <c:pt idx="968">
                  <c:v>49.050000000000004</c:v>
                </c:pt>
                <c:pt idx="969">
                  <c:v>46.26</c:v>
                </c:pt>
                <c:pt idx="970">
                  <c:v>28.78</c:v>
                </c:pt>
                <c:pt idx="971">
                  <c:v>66.5</c:v>
                </c:pt>
                <c:pt idx="972">
                  <c:v>38.61</c:v>
                </c:pt>
                <c:pt idx="973">
                  <c:v>64.2</c:v>
                </c:pt>
                <c:pt idx="974">
                  <c:v>63.7</c:v>
                </c:pt>
                <c:pt idx="975">
                  <c:v>62.35</c:v>
                </c:pt>
                <c:pt idx="976">
                  <c:v>62.35</c:v>
                </c:pt>
                <c:pt idx="977">
                  <c:v>57.800000000000004</c:v>
                </c:pt>
                <c:pt idx="978">
                  <c:v>55.099999999999994</c:v>
                </c:pt>
                <c:pt idx="979">
                  <c:v>10.81</c:v>
                </c:pt>
                <c:pt idx="980">
                  <c:v>41.24</c:v>
                </c:pt>
                <c:pt idx="981">
                  <c:v>27.81</c:v>
                </c:pt>
                <c:pt idx="982">
                  <c:v>9.24</c:v>
                </c:pt>
                <c:pt idx="983">
                  <c:v>18.46</c:v>
                </c:pt>
                <c:pt idx="984">
                  <c:v>42.45</c:v>
                </c:pt>
                <c:pt idx="985">
                  <c:v>23.25</c:v>
                </c:pt>
                <c:pt idx="986">
                  <c:v>7.72</c:v>
                </c:pt>
                <c:pt idx="987">
                  <c:v>7.72</c:v>
                </c:pt>
                <c:pt idx="988">
                  <c:v>15.4</c:v>
                </c:pt>
                <c:pt idx="989">
                  <c:v>23.1</c:v>
                </c:pt>
                <c:pt idx="990">
                  <c:v>30.8</c:v>
                </c:pt>
                <c:pt idx="991">
                  <c:v>16.36</c:v>
                </c:pt>
                <c:pt idx="992">
                  <c:v>11.52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2E-43F5-9FB2-361107D96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951472"/>
        <c:axId val="479967312"/>
      </c:scatterChart>
      <c:valAx>
        <c:axId val="479951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67312"/>
        <c:crosses val="autoZero"/>
        <c:crossBetween val="midCat"/>
      </c:valAx>
      <c:valAx>
        <c:axId val="47996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TotalPurchase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51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T-Test: Apple vs Samsung - Avg TotalPurchase</a:t>
            </a:r>
          </a:p>
        </c:rich>
      </c:tx>
      <c:layout>
        <c:manualLayout>
          <c:xMode val="edge"/>
          <c:yMode val="edge"/>
          <c:x val="0.130347112860892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0.16380917663069894"/>
          <c:y val="0.33533011272141705"/>
          <c:w val="0.8022402060853504"/>
          <c:h val="0.471056842532364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Formulas!$D$2</c:f>
              <c:strCache>
                <c:ptCount val="1"/>
                <c:pt idx="0">
                  <c:v>Apple Mean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9D8-42E9-9375-0CEFEBFED6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Formulas!$E$2</c:f>
              <c:numCache>
                <c:formatCode>General</c:formatCode>
                <c:ptCount val="1"/>
                <c:pt idx="0">
                  <c:v>2416.278611111115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C7-4EFC-B43D-6A4031D8307E}"/>
            </c:ext>
          </c:extLst>
        </c:ser>
        <c:ser>
          <c:idx val="1"/>
          <c:order val="1"/>
          <c:tx>
            <c:strRef>
              <c:f>Formulas!$D$3</c:f>
              <c:strCache>
                <c:ptCount val="1"/>
                <c:pt idx="0">
                  <c:v>Samsung Mean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Formulas!$E$3</c:f>
              <c:numCache>
                <c:formatCode>General</c:formatCode>
                <c:ptCount val="1"/>
                <c:pt idx="0">
                  <c:v>712.74636771300516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C7-4EFC-B43D-6A4031D8307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563238352"/>
        <c:axId val="1563241712"/>
      </c:barChart>
      <c:catAx>
        <c:axId val="1563238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Brand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3241712"/>
        <c:crosses val="autoZero"/>
        <c:auto val="1"/>
        <c:lblAlgn val="ctr"/>
        <c:lblOffset val="100"/>
        <c:noMultiLvlLbl val="0"/>
      </c:catAx>
      <c:valAx>
        <c:axId val="156324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Average  TotalPurchase</a:t>
                </a:r>
              </a:p>
            </c:rich>
          </c:tx>
          <c:layout>
            <c:manualLayout>
              <c:xMode val="edge"/>
              <c:yMode val="edge"/>
              <c:x val="3.0864197530864196E-2"/>
              <c:y val="0.200064412238325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32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'AB test'!$A$2</c:f>
              <c:strCache>
                <c:ptCount val="1"/>
                <c:pt idx="0">
                  <c:v>Apple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'AB test'!$A$3:$A$182</c:f>
              <c:numCache>
                <c:formatCode>General</c:formatCode>
                <c:ptCount val="180"/>
                <c:pt idx="0">
                  <c:v>8046.52</c:v>
                </c:pt>
                <c:pt idx="1">
                  <c:v>4996.08</c:v>
                </c:pt>
                <c:pt idx="2">
                  <c:v>1665.36</c:v>
                </c:pt>
                <c:pt idx="3">
                  <c:v>8326.7999999999993</c:v>
                </c:pt>
                <c:pt idx="4">
                  <c:v>1665.36</c:v>
                </c:pt>
                <c:pt idx="5">
                  <c:v>6661.44</c:v>
                </c:pt>
                <c:pt idx="6">
                  <c:v>7917.4</c:v>
                </c:pt>
                <c:pt idx="7">
                  <c:v>4750.4400000000005</c:v>
                </c:pt>
                <c:pt idx="8">
                  <c:v>7277.8499999999995</c:v>
                </c:pt>
                <c:pt idx="9">
                  <c:v>5822.28</c:v>
                </c:pt>
                <c:pt idx="10">
                  <c:v>1348.61</c:v>
                </c:pt>
                <c:pt idx="11">
                  <c:v>1348.61</c:v>
                </c:pt>
                <c:pt idx="12">
                  <c:v>6743.0499999999993</c:v>
                </c:pt>
                <c:pt idx="13">
                  <c:v>2697.22</c:v>
                </c:pt>
                <c:pt idx="14">
                  <c:v>5394.44</c:v>
                </c:pt>
                <c:pt idx="15">
                  <c:v>6743.0499999999993</c:v>
                </c:pt>
                <c:pt idx="16">
                  <c:v>2697.22</c:v>
                </c:pt>
                <c:pt idx="17">
                  <c:v>5394.44</c:v>
                </c:pt>
                <c:pt idx="18">
                  <c:v>6743.0499999999993</c:v>
                </c:pt>
                <c:pt idx="19">
                  <c:v>6743.0499999999993</c:v>
                </c:pt>
                <c:pt idx="20">
                  <c:v>5394.44</c:v>
                </c:pt>
                <c:pt idx="21">
                  <c:v>5394.44</c:v>
                </c:pt>
                <c:pt idx="22">
                  <c:v>5348.92</c:v>
                </c:pt>
                <c:pt idx="23">
                  <c:v>6686.15</c:v>
                </c:pt>
                <c:pt idx="24">
                  <c:v>4729.4799999999996</c:v>
                </c:pt>
                <c:pt idx="25">
                  <c:v>5532.95</c:v>
                </c:pt>
                <c:pt idx="26">
                  <c:v>2055.1799999999998</c:v>
                </c:pt>
                <c:pt idx="27">
                  <c:v>4109.76</c:v>
                </c:pt>
                <c:pt idx="28">
                  <c:v>4055.44</c:v>
                </c:pt>
                <c:pt idx="29">
                  <c:v>3041.58</c:v>
                </c:pt>
                <c:pt idx="30">
                  <c:v>4055.44</c:v>
                </c:pt>
                <c:pt idx="31">
                  <c:v>4055.44</c:v>
                </c:pt>
                <c:pt idx="32">
                  <c:v>3041.58</c:v>
                </c:pt>
                <c:pt idx="33">
                  <c:v>3010.89</c:v>
                </c:pt>
                <c:pt idx="34">
                  <c:v>3909.2</c:v>
                </c:pt>
                <c:pt idx="35">
                  <c:v>4886.5</c:v>
                </c:pt>
                <c:pt idx="36">
                  <c:v>2931.8999999999996</c:v>
                </c:pt>
                <c:pt idx="37">
                  <c:v>4884.1000000000004</c:v>
                </c:pt>
                <c:pt idx="38">
                  <c:v>973.41</c:v>
                </c:pt>
                <c:pt idx="39">
                  <c:v>973.41</c:v>
                </c:pt>
                <c:pt idx="40">
                  <c:v>4747.3500000000004</c:v>
                </c:pt>
                <c:pt idx="41">
                  <c:v>949.47</c:v>
                </c:pt>
                <c:pt idx="42">
                  <c:v>2848.41</c:v>
                </c:pt>
                <c:pt idx="43">
                  <c:v>1898.94</c:v>
                </c:pt>
                <c:pt idx="44">
                  <c:v>3797.88</c:v>
                </c:pt>
                <c:pt idx="45">
                  <c:v>4747.3500000000004</c:v>
                </c:pt>
                <c:pt idx="46">
                  <c:v>1898.94</c:v>
                </c:pt>
                <c:pt idx="47">
                  <c:v>949.47</c:v>
                </c:pt>
                <c:pt idx="48">
                  <c:v>1898.94</c:v>
                </c:pt>
                <c:pt idx="49">
                  <c:v>3797.88</c:v>
                </c:pt>
                <c:pt idx="50">
                  <c:v>2848.41</c:v>
                </c:pt>
                <c:pt idx="51">
                  <c:v>2848.41</c:v>
                </c:pt>
                <c:pt idx="52">
                  <c:v>4747.3500000000004</c:v>
                </c:pt>
                <c:pt idx="53">
                  <c:v>2848.41</c:v>
                </c:pt>
                <c:pt idx="54">
                  <c:v>949.47</c:v>
                </c:pt>
                <c:pt idx="55">
                  <c:v>4747.3500000000004</c:v>
                </c:pt>
                <c:pt idx="56">
                  <c:v>4747.3500000000004</c:v>
                </c:pt>
                <c:pt idx="57">
                  <c:v>4747.3500000000004</c:v>
                </c:pt>
                <c:pt idx="58">
                  <c:v>3797.88</c:v>
                </c:pt>
                <c:pt idx="59">
                  <c:v>4747.3500000000004</c:v>
                </c:pt>
                <c:pt idx="60">
                  <c:v>3797.88</c:v>
                </c:pt>
                <c:pt idx="61">
                  <c:v>2848.41</c:v>
                </c:pt>
                <c:pt idx="62">
                  <c:v>4747.3500000000004</c:v>
                </c:pt>
                <c:pt idx="63">
                  <c:v>3797.88</c:v>
                </c:pt>
                <c:pt idx="64">
                  <c:v>949.47</c:v>
                </c:pt>
                <c:pt idx="65">
                  <c:v>2848.41</c:v>
                </c:pt>
                <c:pt idx="66">
                  <c:v>3797.88</c:v>
                </c:pt>
                <c:pt idx="67">
                  <c:v>2848.41</c:v>
                </c:pt>
                <c:pt idx="68">
                  <c:v>2785.14</c:v>
                </c:pt>
                <c:pt idx="69">
                  <c:v>4640.8999999999996</c:v>
                </c:pt>
                <c:pt idx="70">
                  <c:v>2784.54</c:v>
                </c:pt>
                <c:pt idx="71">
                  <c:v>4640.8999999999996</c:v>
                </c:pt>
                <c:pt idx="72">
                  <c:v>4115.8</c:v>
                </c:pt>
                <c:pt idx="73">
                  <c:v>2328.2400000000002</c:v>
                </c:pt>
                <c:pt idx="74">
                  <c:v>2998.68</c:v>
                </c:pt>
                <c:pt idx="75">
                  <c:v>2249.0099999999998</c:v>
                </c:pt>
                <c:pt idx="76">
                  <c:v>1499.34</c:v>
                </c:pt>
                <c:pt idx="77">
                  <c:v>3660.3500000000004</c:v>
                </c:pt>
                <c:pt idx="78">
                  <c:v>2196.21</c:v>
                </c:pt>
                <c:pt idx="79">
                  <c:v>2928.28</c:v>
                </c:pt>
                <c:pt idx="80">
                  <c:v>2196.21</c:v>
                </c:pt>
                <c:pt idx="81">
                  <c:v>2167.1999999999998</c:v>
                </c:pt>
                <c:pt idx="82">
                  <c:v>1444.8</c:v>
                </c:pt>
                <c:pt idx="83">
                  <c:v>2889.6</c:v>
                </c:pt>
                <c:pt idx="84">
                  <c:v>1444.8</c:v>
                </c:pt>
                <c:pt idx="85">
                  <c:v>2167.1999999999998</c:v>
                </c:pt>
                <c:pt idx="86">
                  <c:v>2889.6</c:v>
                </c:pt>
                <c:pt idx="87">
                  <c:v>3612</c:v>
                </c:pt>
                <c:pt idx="88">
                  <c:v>722.4</c:v>
                </c:pt>
                <c:pt idx="89">
                  <c:v>2889.6</c:v>
                </c:pt>
                <c:pt idx="90">
                  <c:v>2167.1999999999998</c:v>
                </c:pt>
                <c:pt idx="91">
                  <c:v>3612</c:v>
                </c:pt>
                <c:pt idx="92">
                  <c:v>722.4</c:v>
                </c:pt>
                <c:pt idx="93">
                  <c:v>1444.8</c:v>
                </c:pt>
                <c:pt idx="94">
                  <c:v>722.4</c:v>
                </c:pt>
                <c:pt idx="95">
                  <c:v>2889.6</c:v>
                </c:pt>
                <c:pt idx="96">
                  <c:v>2889.6</c:v>
                </c:pt>
                <c:pt idx="97">
                  <c:v>722.4</c:v>
                </c:pt>
                <c:pt idx="98">
                  <c:v>3612</c:v>
                </c:pt>
                <c:pt idx="99">
                  <c:v>1182.5</c:v>
                </c:pt>
                <c:pt idx="100">
                  <c:v>2365</c:v>
                </c:pt>
                <c:pt idx="101">
                  <c:v>2889.45</c:v>
                </c:pt>
                <c:pt idx="102">
                  <c:v>577.89</c:v>
                </c:pt>
                <c:pt idx="103">
                  <c:v>2889.45</c:v>
                </c:pt>
                <c:pt idx="104">
                  <c:v>577.89</c:v>
                </c:pt>
                <c:pt idx="105">
                  <c:v>1155.78</c:v>
                </c:pt>
                <c:pt idx="106">
                  <c:v>2311.56</c:v>
                </c:pt>
                <c:pt idx="107">
                  <c:v>566.04</c:v>
                </c:pt>
                <c:pt idx="108">
                  <c:v>2662.8500000000004</c:v>
                </c:pt>
                <c:pt idx="109">
                  <c:v>1597.71</c:v>
                </c:pt>
                <c:pt idx="110">
                  <c:v>2656.3</c:v>
                </c:pt>
                <c:pt idx="111">
                  <c:v>1593.78</c:v>
                </c:pt>
                <c:pt idx="112">
                  <c:v>1593.78</c:v>
                </c:pt>
                <c:pt idx="113">
                  <c:v>2125.04</c:v>
                </c:pt>
                <c:pt idx="114">
                  <c:v>1863.64</c:v>
                </c:pt>
                <c:pt idx="115">
                  <c:v>1863.64</c:v>
                </c:pt>
                <c:pt idx="116">
                  <c:v>458.28</c:v>
                </c:pt>
                <c:pt idx="117">
                  <c:v>1374.84</c:v>
                </c:pt>
                <c:pt idx="118">
                  <c:v>1833.12</c:v>
                </c:pt>
                <c:pt idx="119">
                  <c:v>1833.12</c:v>
                </c:pt>
                <c:pt idx="120">
                  <c:v>1833.12</c:v>
                </c:pt>
                <c:pt idx="121">
                  <c:v>916.56</c:v>
                </c:pt>
                <c:pt idx="122">
                  <c:v>916.56</c:v>
                </c:pt>
                <c:pt idx="123">
                  <c:v>1833.12</c:v>
                </c:pt>
                <c:pt idx="124">
                  <c:v>1833.12</c:v>
                </c:pt>
                <c:pt idx="125">
                  <c:v>458.28</c:v>
                </c:pt>
                <c:pt idx="126">
                  <c:v>1833.12</c:v>
                </c:pt>
                <c:pt idx="127">
                  <c:v>2291.3999999999996</c:v>
                </c:pt>
                <c:pt idx="128">
                  <c:v>1374.84</c:v>
                </c:pt>
                <c:pt idx="129">
                  <c:v>1833.12</c:v>
                </c:pt>
                <c:pt idx="130">
                  <c:v>458.28</c:v>
                </c:pt>
                <c:pt idx="131">
                  <c:v>458.28</c:v>
                </c:pt>
                <c:pt idx="132">
                  <c:v>2291.3999999999996</c:v>
                </c:pt>
                <c:pt idx="133">
                  <c:v>916.56</c:v>
                </c:pt>
                <c:pt idx="134">
                  <c:v>2285.65</c:v>
                </c:pt>
                <c:pt idx="135">
                  <c:v>1359.48</c:v>
                </c:pt>
                <c:pt idx="136">
                  <c:v>447.6</c:v>
                </c:pt>
                <c:pt idx="137">
                  <c:v>437.31</c:v>
                </c:pt>
                <c:pt idx="138">
                  <c:v>2057.7000000000003</c:v>
                </c:pt>
                <c:pt idx="139">
                  <c:v>716.62</c:v>
                </c:pt>
                <c:pt idx="140">
                  <c:v>1433.24</c:v>
                </c:pt>
                <c:pt idx="141">
                  <c:v>716.62</c:v>
                </c:pt>
                <c:pt idx="142">
                  <c:v>716.62</c:v>
                </c:pt>
                <c:pt idx="143">
                  <c:v>1433.24</c:v>
                </c:pt>
                <c:pt idx="144">
                  <c:v>358.31</c:v>
                </c:pt>
                <c:pt idx="145">
                  <c:v>358.31</c:v>
                </c:pt>
                <c:pt idx="146">
                  <c:v>1433.24</c:v>
                </c:pt>
                <c:pt idx="147">
                  <c:v>716.62</c:v>
                </c:pt>
                <c:pt idx="148">
                  <c:v>358.31</c:v>
                </c:pt>
                <c:pt idx="149">
                  <c:v>1665.3999999999999</c:v>
                </c:pt>
                <c:pt idx="150">
                  <c:v>635.34</c:v>
                </c:pt>
                <c:pt idx="151">
                  <c:v>597.20000000000005</c:v>
                </c:pt>
                <c:pt idx="152">
                  <c:v>1286.9000000000001</c:v>
                </c:pt>
                <c:pt idx="153">
                  <c:v>755.76</c:v>
                </c:pt>
                <c:pt idx="154">
                  <c:v>188.94</c:v>
                </c:pt>
                <c:pt idx="155">
                  <c:v>188.94</c:v>
                </c:pt>
                <c:pt idx="156">
                  <c:v>944.7</c:v>
                </c:pt>
                <c:pt idx="157">
                  <c:v>188.94</c:v>
                </c:pt>
                <c:pt idx="158">
                  <c:v>802.84999999999991</c:v>
                </c:pt>
                <c:pt idx="159">
                  <c:v>160.57</c:v>
                </c:pt>
                <c:pt idx="160">
                  <c:v>160.57</c:v>
                </c:pt>
                <c:pt idx="161">
                  <c:v>321.14</c:v>
                </c:pt>
                <c:pt idx="162">
                  <c:v>321.14</c:v>
                </c:pt>
                <c:pt idx="163">
                  <c:v>642.28</c:v>
                </c:pt>
                <c:pt idx="164">
                  <c:v>160.57</c:v>
                </c:pt>
                <c:pt idx="165">
                  <c:v>642.28</c:v>
                </c:pt>
                <c:pt idx="166">
                  <c:v>321.14</c:v>
                </c:pt>
                <c:pt idx="167">
                  <c:v>321.14</c:v>
                </c:pt>
                <c:pt idx="168">
                  <c:v>160.57</c:v>
                </c:pt>
                <c:pt idx="169">
                  <c:v>321.14</c:v>
                </c:pt>
                <c:pt idx="170">
                  <c:v>802.84999999999991</c:v>
                </c:pt>
                <c:pt idx="171">
                  <c:v>642.28</c:v>
                </c:pt>
                <c:pt idx="172">
                  <c:v>321.14</c:v>
                </c:pt>
                <c:pt idx="173">
                  <c:v>321.14</c:v>
                </c:pt>
                <c:pt idx="174">
                  <c:v>160.57</c:v>
                </c:pt>
                <c:pt idx="175">
                  <c:v>802.84999999999991</c:v>
                </c:pt>
                <c:pt idx="176">
                  <c:v>481.71</c:v>
                </c:pt>
                <c:pt idx="177">
                  <c:v>154.19999999999999</c:v>
                </c:pt>
                <c:pt idx="178">
                  <c:v>30.84</c:v>
                </c:pt>
                <c:pt idx="179">
                  <c:v>91.44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F3-42AE-AA6A-C6ABE41BECBC}"/>
            </c:ext>
          </c:extLst>
        </c:ser>
        <c:ser>
          <c:idx val="1"/>
          <c:order val="1"/>
          <c:tx>
            <c:strRef>
              <c:f>'AB test'!$B$2</c:f>
              <c:strCache>
                <c:ptCount val="1"/>
                <c:pt idx="0">
                  <c:v>Samsung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'AB test'!$B$3:$B$182</c:f>
              <c:numCache>
                <c:formatCode>General</c:formatCode>
                <c:ptCount val="180"/>
                <c:pt idx="0">
                  <c:v>1544.42</c:v>
                </c:pt>
                <c:pt idx="1">
                  <c:v>1133.3599999999999</c:v>
                </c:pt>
                <c:pt idx="2">
                  <c:v>2266.7199999999998</c:v>
                </c:pt>
                <c:pt idx="3">
                  <c:v>3602.56</c:v>
                </c:pt>
                <c:pt idx="4">
                  <c:v>2701.92</c:v>
                </c:pt>
                <c:pt idx="5">
                  <c:v>4503.2</c:v>
                </c:pt>
                <c:pt idx="6">
                  <c:v>771.94</c:v>
                </c:pt>
                <c:pt idx="7">
                  <c:v>717.39</c:v>
                </c:pt>
                <c:pt idx="8">
                  <c:v>1434.78</c:v>
                </c:pt>
                <c:pt idx="9">
                  <c:v>2152.17</c:v>
                </c:pt>
                <c:pt idx="10">
                  <c:v>1286.46</c:v>
                </c:pt>
                <c:pt idx="11">
                  <c:v>1177.8399999999999</c:v>
                </c:pt>
                <c:pt idx="12">
                  <c:v>2895.7</c:v>
                </c:pt>
                <c:pt idx="13">
                  <c:v>1509.27</c:v>
                </c:pt>
                <c:pt idx="14">
                  <c:v>1006.18</c:v>
                </c:pt>
                <c:pt idx="15">
                  <c:v>977.6</c:v>
                </c:pt>
                <c:pt idx="16">
                  <c:v>488.8</c:v>
                </c:pt>
                <c:pt idx="17">
                  <c:v>2444</c:v>
                </c:pt>
                <c:pt idx="18">
                  <c:v>1466.4</c:v>
                </c:pt>
                <c:pt idx="19">
                  <c:v>488.8</c:v>
                </c:pt>
                <c:pt idx="20">
                  <c:v>977.6</c:v>
                </c:pt>
                <c:pt idx="21">
                  <c:v>2444</c:v>
                </c:pt>
                <c:pt idx="22">
                  <c:v>488.8</c:v>
                </c:pt>
                <c:pt idx="23">
                  <c:v>977.6</c:v>
                </c:pt>
                <c:pt idx="24">
                  <c:v>2444</c:v>
                </c:pt>
                <c:pt idx="25">
                  <c:v>921</c:v>
                </c:pt>
                <c:pt idx="26">
                  <c:v>1698.8</c:v>
                </c:pt>
                <c:pt idx="27">
                  <c:v>1234.77</c:v>
                </c:pt>
                <c:pt idx="28">
                  <c:v>1197.78</c:v>
                </c:pt>
                <c:pt idx="29">
                  <c:v>1196.8499999999999</c:v>
                </c:pt>
                <c:pt idx="30">
                  <c:v>1196.8499999999999</c:v>
                </c:pt>
                <c:pt idx="31">
                  <c:v>1108.3499999999999</c:v>
                </c:pt>
                <c:pt idx="32">
                  <c:v>738.9</c:v>
                </c:pt>
                <c:pt idx="33">
                  <c:v>1477.8</c:v>
                </c:pt>
                <c:pt idx="34">
                  <c:v>724.58</c:v>
                </c:pt>
                <c:pt idx="35">
                  <c:v>1086.8700000000001</c:v>
                </c:pt>
                <c:pt idx="36">
                  <c:v>1086.8700000000001</c:v>
                </c:pt>
                <c:pt idx="37">
                  <c:v>1811.45</c:v>
                </c:pt>
                <c:pt idx="38">
                  <c:v>1086.8700000000001</c:v>
                </c:pt>
                <c:pt idx="39">
                  <c:v>1811.45</c:v>
                </c:pt>
                <c:pt idx="40">
                  <c:v>724.58</c:v>
                </c:pt>
                <c:pt idx="41">
                  <c:v>362.29</c:v>
                </c:pt>
                <c:pt idx="42">
                  <c:v>362.29</c:v>
                </c:pt>
                <c:pt idx="43">
                  <c:v>1255.1199999999999</c:v>
                </c:pt>
                <c:pt idx="44">
                  <c:v>1224.2</c:v>
                </c:pt>
                <c:pt idx="45">
                  <c:v>918.15000000000009</c:v>
                </c:pt>
                <c:pt idx="46">
                  <c:v>903.24</c:v>
                </c:pt>
                <c:pt idx="47">
                  <c:v>1163.28</c:v>
                </c:pt>
                <c:pt idx="48">
                  <c:v>581.64</c:v>
                </c:pt>
                <c:pt idx="49">
                  <c:v>1454.1</c:v>
                </c:pt>
                <c:pt idx="50">
                  <c:v>1101</c:v>
                </c:pt>
                <c:pt idx="51">
                  <c:v>1101</c:v>
                </c:pt>
                <c:pt idx="52">
                  <c:v>825.75</c:v>
                </c:pt>
                <c:pt idx="53">
                  <c:v>1376.25</c:v>
                </c:pt>
                <c:pt idx="54">
                  <c:v>1376.25</c:v>
                </c:pt>
                <c:pt idx="55">
                  <c:v>275.25</c:v>
                </c:pt>
                <c:pt idx="56">
                  <c:v>550.5</c:v>
                </c:pt>
                <c:pt idx="57">
                  <c:v>550.5</c:v>
                </c:pt>
                <c:pt idx="58">
                  <c:v>550.5</c:v>
                </c:pt>
                <c:pt idx="59">
                  <c:v>550.5</c:v>
                </c:pt>
                <c:pt idx="60">
                  <c:v>825.75</c:v>
                </c:pt>
                <c:pt idx="61">
                  <c:v>1101</c:v>
                </c:pt>
                <c:pt idx="62">
                  <c:v>825.75</c:v>
                </c:pt>
                <c:pt idx="63">
                  <c:v>273.56</c:v>
                </c:pt>
                <c:pt idx="64">
                  <c:v>273.56</c:v>
                </c:pt>
                <c:pt idx="65">
                  <c:v>784.94999999999993</c:v>
                </c:pt>
                <c:pt idx="66">
                  <c:v>1031.48</c:v>
                </c:pt>
                <c:pt idx="67">
                  <c:v>242.72</c:v>
                </c:pt>
                <c:pt idx="68">
                  <c:v>970.88</c:v>
                </c:pt>
                <c:pt idx="69">
                  <c:v>970.88</c:v>
                </c:pt>
                <c:pt idx="70">
                  <c:v>970.88</c:v>
                </c:pt>
                <c:pt idx="71">
                  <c:v>1213.5999999999999</c:v>
                </c:pt>
                <c:pt idx="72">
                  <c:v>485.44</c:v>
                </c:pt>
                <c:pt idx="73">
                  <c:v>1213.1500000000001</c:v>
                </c:pt>
                <c:pt idx="74">
                  <c:v>485.26</c:v>
                </c:pt>
                <c:pt idx="75">
                  <c:v>242.63</c:v>
                </c:pt>
                <c:pt idx="76">
                  <c:v>1213.1500000000001</c:v>
                </c:pt>
                <c:pt idx="77">
                  <c:v>1213.1500000000001</c:v>
                </c:pt>
                <c:pt idx="78">
                  <c:v>970.52</c:v>
                </c:pt>
                <c:pt idx="79">
                  <c:v>970.52</c:v>
                </c:pt>
                <c:pt idx="80">
                  <c:v>727.89</c:v>
                </c:pt>
                <c:pt idx="81">
                  <c:v>727.89</c:v>
                </c:pt>
                <c:pt idx="82">
                  <c:v>727.89</c:v>
                </c:pt>
                <c:pt idx="83">
                  <c:v>970.52</c:v>
                </c:pt>
                <c:pt idx="84">
                  <c:v>485.26</c:v>
                </c:pt>
                <c:pt idx="85">
                  <c:v>485.26</c:v>
                </c:pt>
                <c:pt idx="86">
                  <c:v>242.63</c:v>
                </c:pt>
                <c:pt idx="87">
                  <c:v>970.52</c:v>
                </c:pt>
                <c:pt idx="88">
                  <c:v>1213.1500000000001</c:v>
                </c:pt>
                <c:pt idx="89">
                  <c:v>485.26</c:v>
                </c:pt>
                <c:pt idx="90">
                  <c:v>242.63</c:v>
                </c:pt>
                <c:pt idx="91">
                  <c:v>970.52</c:v>
                </c:pt>
                <c:pt idx="92">
                  <c:v>242.63</c:v>
                </c:pt>
                <c:pt idx="93">
                  <c:v>1213.1500000000001</c:v>
                </c:pt>
                <c:pt idx="94">
                  <c:v>727.89</c:v>
                </c:pt>
                <c:pt idx="95">
                  <c:v>242.63</c:v>
                </c:pt>
                <c:pt idx="96">
                  <c:v>485.26</c:v>
                </c:pt>
                <c:pt idx="97">
                  <c:v>727.89</c:v>
                </c:pt>
                <c:pt idx="98">
                  <c:v>242.63</c:v>
                </c:pt>
                <c:pt idx="99">
                  <c:v>1149.5</c:v>
                </c:pt>
                <c:pt idx="100">
                  <c:v>919.6</c:v>
                </c:pt>
                <c:pt idx="101">
                  <c:v>919.6</c:v>
                </c:pt>
                <c:pt idx="102">
                  <c:v>919.6</c:v>
                </c:pt>
                <c:pt idx="103">
                  <c:v>459.8</c:v>
                </c:pt>
                <c:pt idx="104">
                  <c:v>919.6</c:v>
                </c:pt>
                <c:pt idx="105">
                  <c:v>689.7</c:v>
                </c:pt>
                <c:pt idx="106">
                  <c:v>689.7</c:v>
                </c:pt>
                <c:pt idx="107">
                  <c:v>459.8</c:v>
                </c:pt>
                <c:pt idx="108">
                  <c:v>1149.5</c:v>
                </c:pt>
                <c:pt idx="109">
                  <c:v>895.8</c:v>
                </c:pt>
                <c:pt idx="110">
                  <c:v>447.9</c:v>
                </c:pt>
                <c:pt idx="111">
                  <c:v>223.95</c:v>
                </c:pt>
                <c:pt idx="112">
                  <c:v>895.8</c:v>
                </c:pt>
                <c:pt idx="113">
                  <c:v>671.84999999999991</c:v>
                </c:pt>
                <c:pt idx="114">
                  <c:v>780.24</c:v>
                </c:pt>
                <c:pt idx="115">
                  <c:v>195.06</c:v>
                </c:pt>
                <c:pt idx="116">
                  <c:v>585.18000000000006</c:v>
                </c:pt>
                <c:pt idx="117">
                  <c:v>390.12</c:v>
                </c:pt>
                <c:pt idx="118">
                  <c:v>585.18000000000006</c:v>
                </c:pt>
                <c:pt idx="119">
                  <c:v>585.18000000000006</c:v>
                </c:pt>
                <c:pt idx="120">
                  <c:v>773.04</c:v>
                </c:pt>
                <c:pt idx="121">
                  <c:v>516.68999999999994</c:v>
                </c:pt>
                <c:pt idx="122">
                  <c:v>861.15</c:v>
                </c:pt>
                <c:pt idx="123">
                  <c:v>688.92</c:v>
                </c:pt>
                <c:pt idx="124">
                  <c:v>516.68999999999994</c:v>
                </c:pt>
                <c:pt idx="125">
                  <c:v>172.23</c:v>
                </c:pt>
                <c:pt idx="126">
                  <c:v>861.15</c:v>
                </c:pt>
                <c:pt idx="127">
                  <c:v>344.46</c:v>
                </c:pt>
                <c:pt idx="128">
                  <c:v>344.46</c:v>
                </c:pt>
                <c:pt idx="129">
                  <c:v>516.68999999999994</c:v>
                </c:pt>
                <c:pt idx="130">
                  <c:v>344.46</c:v>
                </c:pt>
                <c:pt idx="131">
                  <c:v>344.46</c:v>
                </c:pt>
                <c:pt idx="132">
                  <c:v>344.46</c:v>
                </c:pt>
                <c:pt idx="133">
                  <c:v>344.46</c:v>
                </c:pt>
                <c:pt idx="134">
                  <c:v>688.92</c:v>
                </c:pt>
                <c:pt idx="135">
                  <c:v>344.46</c:v>
                </c:pt>
                <c:pt idx="136">
                  <c:v>344.46</c:v>
                </c:pt>
                <c:pt idx="137">
                  <c:v>172.23</c:v>
                </c:pt>
                <c:pt idx="138">
                  <c:v>172.22</c:v>
                </c:pt>
                <c:pt idx="139">
                  <c:v>616.64</c:v>
                </c:pt>
                <c:pt idx="140">
                  <c:v>139.68</c:v>
                </c:pt>
                <c:pt idx="141">
                  <c:v>558.72</c:v>
                </c:pt>
                <c:pt idx="142">
                  <c:v>698.40000000000009</c:v>
                </c:pt>
                <c:pt idx="143">
                  <c:v>558.72</c:v>
                </c:pt>
                <c:pt idx="144">
                  <c:v>279.36</c:v>
                </c:pt>
                <c:pt idx="145">
                  <c:v>419.04</c:v>
                </c:pt>
                <c:pt idx="146">
                  <c:v>558.72</c:v>
                </c:pt>
                <c:pt idx="147">
                  <c:v>558.72</c:v>
                </c:pt>
                <c:pt idx="148">
                  <c:v>419.04</c:v>
                </c:pt>
                <c:pt idx="149">
                  <c:v>419.04</c:v>
                </c:pt>
                <c:pt idx="150">
                  <c:v>139.63999999999999</c:v>
                </c:pt>
                <c:pt idx="151">
                  <c:v>139.63999999999999</c:v>
                </c:pt>
                <c:pt idx="152">
                  <c:v>279.27999999999997</c:v>
                </c:pt>
                <c:pt idx="153">
                  <c:v>558.55999999999995</c:v>
                </c:pt>
                <c:pt idx="154">
                  <c:v>558.55999999999995</c:v>
                </c:pt>
                <c:pt idx="155">
                  <c:v>657.65</c:v>
                </c:pt>
                <c:pt idx="156">
                  <c:v>657.65</c:v>
                </c:pt>
                <c:pt idx="157">
                  <c:v>657.65</c:v>
                </c:pt>
                <c:pt idx="158">
                  <c:v>256.83999999999997</c:v>
                </c:pt>
                <c:pt idx="159">
                  <c:v>256.83999999999997</c:v>
                </c:pt>
                <c:pt idx="160">
                  <c:v>256.83999999999997</c:v>
                </c:pt>
                <c:pt idx="161">
                  <c:v>513.67999999999995</c:v>
                </c:pt>
                <c:pt idx="162">
                  <c:v>513.67999999999995</c:v>
                </c:pt>
                <c:pt idx="163">
                  <c:v>513.67999999999995</c:v>
                </c:pt>
                <c:pt idx="164">
                  <c:v>256.83999999999997</c:v>
                </c:pt>
                <c:pt idx="165">
                  <c:v>385.26</c:v>
                </c:pt>
                <c:pt idx="166">
                  <c:v>256.83999999999997</c:v>
                </c:pt>
                <c:pt idx="167">
                  <c:v>385.26</c:v>
                </c:pt>
                <c:pt idx="168">
                  <c:v>256.83999999999997</c:v>
                </c:pt>
                <c:pt idx="169">
                  <c:v>642.09999999999991</c:v>
                </c:pt>
                <c:pt idx="170">
                  <c:v>128.41999999999999</c:v>
                </c:pt>
                <c:pt idx="171">
                  <c:v>128.41999999999999</c:v>
                </c:pt>
                <c:pt idx="172">
                  <c:v>128.41999999999999</c:v>
                </c:pt>
                <c:pt idx="173">
                  <c:v>513.67999999999995</c:v>
                </c:pt>
                <c:pt idx="174">
                  <c:v>385.26</c:v>
                </c:pt>
                <c:pt idx="175">
                  <c:v>642.09999999999991</c:v>
                </c:pt>
                <c:pt idx="176">
                  <c:v>385.26</c:v>
                </c:pt>
                <c:pt idx="177">
                  <c:v>642.09999999999991</c:v>
                </c:pt>
                <c:pt idx="178">
                  <c:v>128.41999999999999</c:v>
                </c:pt>
                <c:pt idx="179">
                  <c:v>642.09999999999991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F3-42AE-AA6A-C6ABE41BECBC}"/>
            </c:ext>
          </c:extLst>
        </c:ser>
        <c:ser>
          <c:idx val="2"/>
          <c:order val="2"/>
          <c:tx>
            <c:strRef>
              <c:f>'AB test'!$C$2</c:f>
              <c:strCache>
                <c:ptCount val="1"/>
                <c:pt idx="0">
                  <c:v>Xiaomi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'AB test'!$C$3:$C$182</c:f>
              <c:numCache>
                <c:formatCode>General</c:formatCode>
                <c:ptCount val="180"/>
                <c:pt idx="0">
                  <c:v>862.8</c:v>
                </c:pt>
                <c:pt idx="1">
                  <c:v>1993.6000000000001</c:v>
                </c:pt>
                <c:pt idx="2">
                  <c:v>771.7</c:v>
                </c:pt>
                <c:pt idx="3">
                  <c:v>1041.72</c:v>
                </c:pt>
                <c:pt idx="4">
                  <c:v>1234.44</c:v>
                </c:pt>
                <c:pt idx="5">
                  <c:v>1543.0500000000002</c:v>
                </c:pt>
                <c:pt idx="6">
                  <c:v>563.41999999999996</c:v>
                </c:pt>
                <c:pt idx="7">
                  <c:v>561.14</c:v>
                </c:pt>
                <c:pt idx="8">
                  <c:v>1348.8999999999999</c:v>
                </c:pt>
                <c:pt idx="9">
                  <c:v>809.33999999999992</c:v>
                </c:pt>
                <c:pt idx="10">
                  <c:v>809.33999999999992</c:v>
                </c:pt>
                <c:pt idx="11">
                  <c:v>446.34</c:v>
                </c:pt>
                <c:pt idx="12">
                  <c:v>437.08</c:v>
                </c:pt>
                <c:pt idx="13">
                  <c:v>1060.5</c:v>
                </c:pt>
                <c:pt idx="14">
                  <c:v>424.16</c:v>
                </c:pt>
                <c:pt idx="15">
                  <c:v>848.32</c:v>
                </c:pt>
                <c:pt idx="16">
                  <c:v>424.16</c:v>
                </c:pt>
                <c:pt idx="17">
                  <c:v>636.24</c:v>
                </c:pt>
                <c:pt idx="18">
                  <c:v>636.24</c:v>
                </c:pt>
                <c:pt idx="19">
                  <c:v>212.08</c:v>
                </c:pt>
                <c:pt idx="20">
                  <c:v>847.68</c:v>
                </c:pt>
                <c:pt idx="21">
                  <c:v>423.84</c:v>
                </c:pt>
                <c:pt idx="22">
                  <c:v>847.68</c:v>
                </c:pt>
                <c:pt idx="23">
                  <c:v>1015.45</c:v>
                </c:pt>
                <c:pt idx="24">
                  <c:v>406.18</c:v>
                </c:pt>
                <c:pt idx="25">
                  <c:v>406.18</c:v>
                </c:pt>
                <c:pt idx="26">
                  <c:v>609.27</c:v>
                </c:pt>
                <c:pt idx="27">
                  <c:v>203.09</c:v>
                </c:pt>
                <c:pt idx="28">
                  <c:v>203.09</c:v>
                </c:pt>
                <c:pt idx="29">
                  <c:v>1015.45</c:v>
                </c:pt>
                <c:pt idx="30">
                  <c:v>406.18</c:v>
                </c:pt>
                <c:pt idx="31">
                  <c:v>609.27</c:v>
                </c:pt>
                <c:pt idx="32">
                  <c:v>406.18</c:v>
                </c:pt>
                <c:pt idx="33">
                  <c:v>569.91</c:v>
                </c:pt>
                <c:pt idx="34">
                  <c:v>759.88</c:v>
                </c:pt>
                <c:pt idx="35">
                  <c:v>759.88</c:v>
                </c:pt>
                <c:pt idx="36">
                  <c:v>569.91</c:v>
                </c:pt>
                <c:pt idx="37">
                  <c:v>949.85</c:v>
                </c:pt>
                <c:pt idx="38">
                  <c:v>569.91</c:v>
                </c:pt>
                <c:pt idx="39">
                  <c:v>189.97</c:v>
                </c:pt>
                <c:pt idx="40">
                  <c:v>379.94</c:v>
                </c:pt>
                <c:pt idx="41">
                  <c:v>949.85</c:v>
                </c:pt>
                <c:pt idx="42">
                  <c:v>379.94</c:v>
                </c:pt>
                <c:pt idx="43">
                  <c:v>379.94</c:v>
                </c:pt>
                <c:pt idx="44">
                  <c:v>894.5</c:v>
                </c:pt>
                <c:pt idx="45">
                  <c:v>302.2</c:v>
                </c:pt>
                <c:pt idx="46">
                  <c:v>452.90999999999997</c:v>
                </c:pt>
                <c:pt idx="47">
                  <c:v>301.94</c:v>
                </c:pt>
                <c:pt idx="48">
                  <c:v>301.94</c:v>
                </c:pt>
                <c:pt idx="49">
                  <c:v>571.36</c:v>
                </c:pt>
                <c:pt idx="50">
                  <c:v>704.09999999999991</c:v>
                </c:pt>
                <c:pt idx="51">
                  <c:v>138.71</c:v>
                </c:pt>
                <c:pt idx="52">
                  <c:v>693.55000000000007</c:v>
                </c:pt>
                <c:pt idx="53">
                  <c:v>548.72</c:v>
                </c:pt>
                <c:pt idx="54">
                  <c:v>408.51</c:v>
                </c:pt>
                <c:pt idx="55">
                  <c:v>270.02</c:v>
                </c:pt>
                <c:pt idx="56">
                  <c:v>135.01</c:v>
                </c:pt>
                <c:pt idx="57">
                  <c:v>458.52</c:v>
                </c:pt>
                <c:pt idx="58">
                  <c:v>378.8</c:v>
                </c:pt>
                <c:pt idx="59">
                  <c:v>81.86</c:v>
                </c:pt>
                <c:pt idx="60">
                  <c:v>212.37</c:v>
                </c:pt>
                <c:pt idx="61">
                  <c:v>70.790000000000006</c:v>
                </c:pt>
                <c:pt idx="62">
                  <c:v>45.84</c:v>
                </c:pt>
                <c:pt idx="63">
                  <c:v>147.89999999999998</c:v>
                </c:pt>
                <c:pt idx="64">
                  <c:v>88.74</c:v>
                </c:pt>
                <c:pt idx="65">
                  <c:v>59.16</c:v>
                </c:pt>
                <c:pt idx="66">
                  <c:v>118.32</c:v>
                </c:pt>
                <c:pt idx="67">
                  <c:v>147.89999999999998</c:v>
                </c:pt>
                <c:pt idx="68">
                  <c:v>88.74</c:v>
                </c:pt>
                <c:pt idx="69">
                  <c:v>88.74</c:v>
                </c:pt>
                <c:pt idx="70">
                  <c:v>147.89999999999998</c:v>
                </c:pt>
                <c:pt idx="71">
                  <c:v>118.32</c:v>
                </c:pt>
                <c:pt idx="72">
                  <c:v>29.58</c:v>
                </c:pt>
                <c:pt idx="73">
                  <c:v>115.25</c:v>
                </c:pt>
                <c:pt idx="74">
                  <c:v>68.400000000000006</c:v>
                </c:pt>
                <c:pt idx="75">
                  <c:v>45.6</c:v>
                </c:pt>
                <c:pt idx="76">
                  <c:v>45.6</c:v>
                </c:pt>
                <c:pt idx="77">
                  <c:v>22.8</c:v>
                </c:pt>
                <c:pt idx="78">
                  <c:v>91.2</c:v>
                </c:pt>
                <c:pt idx="79">
                  <c:v>91.2</c:v>
                </c:pt>
                <c:pt idx="80">
                  <c:v>22.8</c:v>
                </c:pt>
                <c:pt idx="81">
                  <c:v>68.400000000000006</c:v>
                </c:pt>
                <c:pt idx="82">
                  <c:v>22.8</c:v>
                </c:pt>
                <c:pt idx="83">
                  <c:v>21.85</c:v>
                </c:pt>
                <c:pt idx="84">
                  <c:v>20.05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F3-42AE-AA6A-C6ABE41BE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9670800"/>
        <c:axId val="739676080"/>
      </c:barChart>
      <c:catAx>
        <c:axId val="7396708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676080"/>
        <c:crosses val="autoZero"/>
        <c:auto val="1"/>
        <c:lblAlgn val="ctr"/>
        <c:lblOffset val="100"/>
        <c:noMultiLvlLbl val="0"/>
      </c:catAx>
      <c:valAx>
        <c:axId val="73967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67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Avg TotalPurchase by Brand (ANOVA Summary)</a:t>
            </a:r>
            <a:endParaRPr lang="en-IN"/>
          </a:p>
        </c:rich>
      </c:tx>
      <c:layout>
        <c:manualLayout>
          <c:xMode val="edge"/>
          <c:yMode val="edge"/>
          <c:x val="0.15981139062037819"/>
          <c:y val="3.34037684674571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580-4A2B-99F7-04788EBF4226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580-4A2B-99F7-04788EBF4226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580-4A2B-99F7-04788EBF422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 test'!$E$4:$G$4</c:f>
              <c:strCache>
                <c:ptCount val="3"/>
                <c:pt idx="0">
                  <c:v>Apple</c:v>
                </c:pt>
                <c:pt idx="1">
                  <c:v>Samsung</c:v>
                </c:pt>
                <c:pt idx="2">
                  <c:v>Xiaomi</c:v>
                </c:pt>
              </c:strCache>
            </c:strRef>
          </c:cat>
          <c:val>
            <c:numRef>
              <c:f>'AB test'!$E$5:$G$5</c:f>
              <c:numCache>
                <c:formatCode>General</c:formatCode>
                <c:ptCount val="3"/>
                <c:pt idx="0">
                  <c:v>2416.278611111115</c:v>
                </c:pt>
                <c:pt idx="1">
                  <c:v>712.74636771300516</c:v>
                </c:pt>
                <c:pt idx="2">
                  <c:v>460.77635294117664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5C-4403-ABB9-A67D96826A2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729431120"/>
        <c:axId val="729431600"/>
      </c:barChart>
      <c:catAx>
        <c:axId val="72943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Brand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431600"/>
        <c:crosses val="autoZero"/>
        <c:auto val="1"/>
        <c:lblAlgn val="ctr"/>
        <c:lblOffset val="100"/>
        <c:noMultiLvlLbl val="0"/>
      </c:catAx>
      <c:valAx>
        <c:axId val="72943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900" b="1" i="0" u="none" strike="noStrike" cap="all" baseline="0"/>
                  <a:t>Average Purchase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43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Price Range Distribution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745512871497123"/>
          <c:y val="0.26053403324584429"/>
          <c:w val="0.79550783424799176"/>
          <c:h val="0.37357130358705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'Chi-Square test'!$B$1</c:f>
              <c:strCache>
                <c:ptCount val="1"/>
                <c:pt idx="0">
                  <c:v>Low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'Chi-Square test'!$A$2:$A$11</c:f>
              <c:strCache>
                <c:ptCount val="10"/>
                <c:pt idx="0">
                  <c:v>electronics</c:v>
                </c:pt>
                <c:pt idx="1">
                  <c:v>computers</c:v>
                </c:pt>
                <c:pt idx="2">
                  <c:v>Other</c:v>
                </c:pt>
                <c:pt idx="3">
                  <c:v>appliances</c:v>
                </c:pt>
                <c:pt idx="4">
                  <c:v>furniture</c:v>
                </c:pt>
                <c:pt idx="5">
                  <c:v>construction</c:v>
                </c:pt>
                <c:pt idx="6">
                  <c:v>auto</c:v>
                </c:pt>
                <c:pt idx="7">
                  <c:v>accessories</c:v>
                </c:pt>
                <c:pt idx="8">
                  <c:v>apparel</c:v>
                </c:pt>
                <c:pt idx="9">
                  <c:v>kids</c:v>
                </c:pt>
              </c:strCache>
            </c:strRef>
          </c:cat>
          <c:val>
            <c:numRef>
              <c:f>'Chi-Square test'!$B$2:$B$11</c:f>
              <c:numCache>
                <c:formatCode>General</c:formatCode>
                <c:ptCount val="10"/>
                <c:pt idx="0">
                  <c:v>425</c:v>
                </c:pt>
                <c:pt idx="1">
                  <c:v>24</c:v>
                </c:pt>
                <c:pt idx="2">
                  <c:v>253</c:v>
                </c:pt>
                <c:pt idx="3">
                  <c:v>81</c:v>
                </c:pt>
                <c:pt idx="4">
                  <c:v>15</c:v>
                </c:pt>
                <c:pt idx="5">
                  <c:v>12</c:v>
                </c:pt>
                <c:pt idx="6">
                  <c:v>6</c:v>
                </c:pt>
                <c:pt idx="7">
                  <c:v>3</c:v>
                </c:pt>
                <c:pt idx="8">
                  <c:v>13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18-458D-8DC7-77CDFD66185F}"/>
            </c:ext>
          </c:extLst>
        </c:ser>
        <c:ser>
          <c:idx val="1"/>
          <c:order val="1"/>
          <c:tx>
            <c:strRef>
              <c:f>'Chi-Square test'!$C$1</c:f>
              <c:strCache>
                <c:ptCount val="1"/>
                <c:pt idx="0">
                  <c:v>Medium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'Chi-Square test'!$A$2:$A$11</c:f>
              <c:strCache>
                <c:ptCount val="10"/>
                <c:pt idx="0">
                  <c:v>electronics</c:v>
                </c:pt>
                <c:pt idx="1">
                  <c:v>computers</c:v>
                </c:pt>
                <c:pt idx="2">
                  <c:v>Other</c:v>
                </c:pt>
                <c:pt idx="3">
                  <c:v>appliances</c:v>
                </c:pt>
                <c:pt idx="4">
                  <c:v>furniture</c:v>
                </c:pt>
                <c:pt idx="5">
                  <c:v>construction</c:v>
                </c:pt>
                <c:pt idx="6">
                  <c:v>auto</c:v>
                </c:pt>
                <c:pt idx="7">
                  <c:v>accessories</c:v>
                </c:pt>
                <c:pt idx="8">
                  <c:v>apparel</c:v>
                </c:pt>
                <c:pt idx="9">
                  <c:v>kids</c:v>
                </c:pt>
              </c:strCache>
            </c:strRef>
          </c:cat>
          <c:val>
            <c:numRef>
              <c:f>'Chi-Square test'!$C$2:$C$11</c:f>
              <c:numCache>
                <c:formatCode>General</c:formatCode>
                <c:ptCount val="10"/>
                <c:pt idx="0">
                  <c:v>120</c:v>
                </c:pt>
                <c:pt idx="1">
                  <c:v>10</c:v>
                </c:pt>
                <c:pt idx="2">
                  <c:v>12</c:v>
                </c:pt>
                <c:pt idx="3">
                  <c:v>4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18-458D-8DC7-77CDFD66185F}"/>
            </c:ext>
          </c:extLst>
        </c:ser>
        <c:ser>
          <c:idx val="2"/>
          <c:order val="2"/>
          <c:tx>
            <c:strRef>
              <c:f>'Chi-Square test'!$D$1</c:f>
              <c:strCache>
                <c:ptCount val="1"/>
                <c:pt idx="0">
                  <c:v>High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'Chi-Square test'!$A$2:$A$11</c:f>
              <c:strCache>
                <c:ptCount val="10"/>
                <c:pt idx="0">
                  <c:v>electronics</c:v>
                </c:pt>
                <c:pt idx="1">
                  <c:v>computers</c:v>
                </c:pt>
                <c:pt idx="2">
                  <c:v>Other</c:v>
                </c:pt>
                <c:pt idx="3">
                  <c:v>appliances</c:v>
                </c:pt>
                <c:pt idx="4">
                  <c:v>furniture</c:v>
                </c:pt>
                <c:pt idx="5">
                  <c:v>construction</c:v>
                </c:pt>
                <c:pt idx="6">
                  <c:v>auto</c:v>
                </c:pt>
                <c:pt idx="7">
                  <c:v>accessories</c:v>
                </c:pt>
                <c:pt idx="8">
                  <c:v>apparel</c:v>
                </c:pt>
                <c:pt idx="9">
                  <c:v>kids</c:v>
                </c:pt>
              </c:strCache>
            </c:strRef>
          </c:cat>
          <c:val>
            <c:numRef>
              <c:f>'Chi-Square test'!$D$2:$D$11</c:f>
              <c:numCache>
                <c:formatCode>General</c:formatCode>
                <c:ptCount val="10"/>
                <c:pt idx="0">
                  <c:v>10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418-458D-8DC7-77CDFD661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27780912"/>
        <c:axId val="127772272"/>
      </c:barChart>
      <c:catAx>
        <c:axId val="127780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Main Category</a:t>
                </a:r>
              </a:p>
            </c:rich>
          </c:tx>
          <c:layout>
            <c:manualLayout>
              <c:xMode val="edge"/>
              <c:yMode val="edge"/>
              <c:x val="0.36052042737082107"/>
              <c:y val="0.903914610673665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72272"/>
        <c:crosses val="autoZero"/>
        <c:auto val="1"/>
        <c:lblAlgn val="ctr"/>
        <c:lblOffset val="100"/>
        <c:noMultiLvlLbl val="0"/>
      </c:catAx>
      <c:valAx>
        <c:axId val="12777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Count of Purchases</a:t>
                </a:r>
              </a:p>
            </c:rich>
          </c:tx>
          <c:layout>
            <c:manualLayout>
              <c:xMode val="edge"/>
              <c:yMode val="edge"/>
              <c:x val="3.7037037037037035E-2"/>
              <c:y val="0.332178477690288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80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585885097696127"/>
          <c:y val="0.27777707786526679"/>
          <c:w val="0.33972310067445616"/>
          <c:h val="0.100000699912510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[StatProject.xlsm]Forecasting!PivotTable4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Daily Total Sales with Forecast Trendline  </a:t>
            </a:r>
          </a:p>
          <a:p>
            <a:pPr>
              <a:defRPr/>
            </a:pPr>
            <a:r>
              <a:rPr lang="en-IN"/>
              <a:t>(Nov 1 – Nov 15, 2019)</a:t>
            </a:r>
            <a:endParaRPr lang="en-US"/>
          </a:p>
        </c:rich>
      </c:tx>
      <c:layout>
        <c:manualLayout>
          <c:xMode val="edge"/>
          <c:yMode val="edge"/>
          <c:x val="0.17471271973356273"/>
          <c:y val="0.105460775736366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823286795032974"/>
          <c:y val="0.34240522018081071"/>
          <c:w val="0.85095480711969829"/>
          <c:h val="0.35168307086614176"/>
        </c:manualLayout>
      </c:layout>
      <c:lineChart>
        <c:grouping val="standard"/>
        <c:varyColors val="0"/>
        <c:ser>
          <c:idx val="0"/>
          <c:order val="0"/>
          <c:tx>
            <c:strRef>
              <c:f>Forecasting!$M$3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forward val="7"/>
            <c:dispRSqr val="1"/>
            <c:dispEq val="1"/>
            <c:trendlineLbl>
              <c:layout>
                <c:manualLayout>
                  <c:x val="1.8653952659587275E-2"/>
                  <c:y val="-0.1229841582302212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Forecasting!$L$4:$L$19</c:f>
              <c:strCache>
                <c:ptCount val="15"/>
                <c:pt idx="0">
                  <c:v>01-11-2019</c:v>
                </c:pt>
                <c:pt idx="1">
                  <c:v>02-11-2019</c:v>
                </c:pt>
                <c:pt idx="2">
                  <c:v>03-11-2019</c:v>
                </c:pt>
                <c:pt idx="3">
                  <c:v>04-11-2019</c:v>
                </c:pt>
                <c:pt idx="4">
                  <c:v>05-11-2019</c:v>
                </c:pt>
                <c:pt idx="5">
                  <c:v>06-11-2019</c:v>
                </c:pt>
                <c:pt idx="6">
                  <c:v>07-11-2019</c:v>
                </c:pt>
                <c:pt idx="7">
                  <c:v>08-11-2019</c:v>
                </c:pt>
                <c:pt idx="8">
                  <c:v>09-11-2019</c:v>
                </c:pt>
                <c:pt idx="9">
                  <c:v>10-11-2019</c:v>
                </c:pt>
                <c:pt idx="10">
                  <c:v>11-11-2019</c:v>
                </c:pt>
                <c:pt idx="11">
                  <c:v>12-11-2019</c:v>
                </c:pt>
                <c:pt idx="12">
                  <c:v>13-11-2019</c:v>
                </c:pt>
                <c:pt idx="13">
                  <c:v>14-11-2019</c:v>
                </c:pt>
                <c:pt idx="14">
                  <c:v>15-11-2019</c:v>
                </c:pt>
              </c:strCache>
            </c:strRef>
          </c:cat>
          <c:val>
            <c:numRef>
              <c:f>Forecasting!$M$4:$M$19</c:f>
              <c:numCache>
                <c:formatCode>General</c:formatCode>
                <c:ptCount val="15"/>
                <c:pt idx="0">
                  <c:v>65208.659999999996</c:v>
                </c:pt>
                <c:pt idx="1">
                  <c:v>57899.080000000016</c:v>
                </c:pt>
                <c:pt idx="2">
                  <c:v>79972.719999999987</c:v>
                </c:pt>
                <c:pt idx="3">
                  <c:v>62292.45</c:v>
                </c:pt>
                <c:pt idx="4">
                  <c:v>49602.53</c:v>
                </c:pt>
                <c:pt idx="5">
                  <c:v>72180.729999999967</c:v>
                </c:pt>
                <c:pt idx="6">
                  <c:v>56966.83</c:v>
                </c:pt>
                <c:pt idx="7">
                  <c:v>42855.950000000026</c:v>
                </c:pt>
                <c:pt idx="8">
                  <c:v>68142.189999999988</c:v>
                </c:pt>
                <c:pt idx="9">
                  <c:v>57159.73000000001</c:v>
                </c:pt>
                <c:pt idx="10">
                  <c:v>56861.69</c:v>
                </c:pt>
                <c:pt idx="11">
                  <c:v>45120.76999999999</c:v>
                </c:pt>
                <c:pt idx="12">
                  <c:v>75193.509999999966</c:v>
                </c:pt>
                <c:pt idx="13">
                  <c:v>52262.290000000023</c:v>
                </c:pt>
                <c:pt idx="14">
                  <c:v>54591.020000000011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2E-4492-B7D1-05AEEABEB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5758176"/>
        <c:axId val="1015765376"/>
      </c:lineChart>
      <c:catAx>
        <c:axId val="101575817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5765376"/>
        <c:crosses val="autoZero"/>
        <c:auto val="1"/>
        <c:lblAlgn val="ctr"/>
        <c:lblOffset val="100"/>
        <c:noMultiLvlLbl val="0"/>
      </c:catAx>
      <c:valAx>
        <c:axId val="101576537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575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7747357268414843"/>
          <c:y val="0.78582489688788892"/>
          <c:w val="0.29033831780201785"/>
          <c:h val="0.158978721409823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Actual vs Predicted TotalPurchase</a:t>
            </a:r>
          </a:p>
        </c:rich>
      </c:tx>
      <c:layout>
        <c:manualLayout>
          <c:xMode val="edge"/>
          <c:yMode val="edge"/>
          <c:x val="0.22702777777777777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406434841577816"/>
          <c:y val="0.26082335598461154"/>
          <c:w val="0.70448429592233985"/>
          <c:h val="0.51754311532976183"/>
        </c:manualLayout>
      </c:layout>
      <c:scatterChart>
        <c:scatterStyle val="lineMarker"/>
        <c:varyColors val="0"/>
        <c:ser>
          <c:idx val="0"/>
          <c:order val="0"/>
          <c:tx>
            <c:strRef>
              <c:f>Forecasting!$E$1</c:f>
              <c:strCache>
                <c:ptCount val="1"/>
                <c:pt idx="0">
                  <c:v>Predicted 
TotalPurchase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Forecasting!$C$2:$C$994</c:f>
              <c:numCache>
                <c:formatCode>General</c:formatCode>
                <c:ptCount val="993"/>
                <c:pt idx="0">
                  <c:v>8046.52</c:v>
                </c:pt>
                <c:pt idx="1">
                  <c:v>9303.4500000000007</c:v>
                </c:pt>
                <c:pt idx="2">
                  <c:v>4996.08</c:v>
                </c:pt>
                <c:pt idx="3">
                  <c:v>1665.36</c:v>
                </c:pt>
                <c:pt idx="4">
                  <c:v>8326.7999999999993</c:v>
                </c:pt>
                <c:pt idx="5">
                  <c:v>1665.36</c:v>
                </c:pt>
                <c:pt idx="6">
                  <c:v>6661.44</c:v>
                </c:pt>
                <c:pt idx="7">
                  <c:v>7917.4</c:v>
                </c:pt>
                <c:pt idx="8">
                  <c:v>4750.4400000000005</c:v>
                </c:pt>
                <c:pt idx="9">
                  <c:v>7745.3499999999995</c:v>
                </c:pt>
                <c:pt idx="10">
                  <c:v>7277.8499999999995</c:v>
                </c:pt>
                <c:pt idx="11">
                  <c:v>3055.36</c:v>
                </c:pt>
                <c:pt idx="12">
                  <c:v>5822.28</c:v>
                </c:pt>
                <c:pt idx="13">
                  <c:v>1348.61</c:v>
                </c:pt>
                <c:pt idx="14">
                  <c:v>1348.61</c:v>
                </c:pt>
                <c:pt idx="15">
                  <c:v>6743.0499999999993</c:v>
                </c:pt>
                <c:pt idx="16">
                  <c:v>2697.22</c:v>
                </c:pt>
                <c:pt idx="17">
                  <c:v>5394.44</c:v>
                </c:pt>
                <c:pt idx="18">
                  <c:v>6743.0499999999993</c:v>
                </c:pt>
                <c:pt idx="19">
                  <c:v>2697.22</c:v>
                </c:pt>
                <c:pt idx="20">
                  <c:v>5394.44</c:v>
                </c:pt>
                <c:pt idx="21">
                  <c:v>6743.0499999999993</c:v>
                </c:pt>
                <c:pt idx="22">
                  <c:v>6743.0499999999993</c:v>
                </c:pt>
                <c:pt idx="23">
                  <c:v>5394.44</c:v>
                </c:pt>
                <c:pt idx="24">
                  <c:v>5394.44</c:v>
                </c:pt>
                <c:pt idx="25">
                  <c:v>5348.92</c:v>
                </c:pt>
                <c:pt idx="26">
                  <c:v>6686.15</c:v>
                </c:pt>
                <c:pt idx="27">
                  <c:v>4729.4799999999996</c:v>
                </c:pt>
                <c:pt idx="28">
                  <c:v>2563.92</c:v>
                </c:pt>
                <c:pt idx="29">
                  <c:v>5532.95</c:v>
                </c:pt>
                <c:pt idx="30">
                  <c:v>2294.52</c:v>
                </c:pt>
                <c:pt idx="31">
                  <c:v>2055.1799999999998</c:v>
                </c:pt>
                <c:pt idx="32">
                  <c:v>4109.76</c:v>
                </c:pt>
                <c:pt idx="33">
                  <c:v>4055.44</c:v>
                </c:pt>
                <c:pt idx="34">
                  <c:v>3041.58</c:v>
                </c:pt>
                <c:pt idx="35">
                  <c:v>4055.44</c:v>
                </c:pt>
                <c:pt idx="36">
                  <c:v>4055.44</c:v>
                </c:pt>
                <c:pt idx="37">
                  <c:v>3041.58</c:v>
                </c:pt>
                <c:pt idx="38">
                  <c:v>3010.89</c:v>
                </c:pt>
                <c:pt idx="39">
                  <c:v>3909.2</c:v>
                </c:pt>
                <c:pt idx="40">
                  <c:v>4886.5</c:v>
                </c:pt>
                <c:pt idx="41">
                  <c:v>2931.8999999999996</c:v>
                </c:pt>
                <c:pt idx="42">
                  <c:v>3921.84</c:v>
                </c:pt>
                <c:pt idx="43">
                  <c:v>977.89</c:v>
                </c:pt>
                <c:pt idx="44">
                  <c:v>4884.1000000000004</c:v>
                </c:pt>
                <c:pt idx="45">
                  <c:v>973.41</c:v>
                </c:pt>
                <c:pt idx="46">
                  <c:v>973.41</c:v>
                </c:pt>
                <c:pt idx="47">
                  <c:v>4747.3500000000004</c:v>
                </c:pt>
                <c:pt idx="48">
                  <c:v>949.47</c:v>
                </c:pt>
                <c:pt idx="49">
                  <c:v>2848.41</c:v>
                </c:pt>
                <c:pt idx="50">
                  <c:v>2856.45</c:v>
                </c:pt>
                <c:pt idx="51">
                  <c:v>1898.94</c:v>
                </c:pt>
                <c:pt idx="52">
                  <c:v>3797.88</c:v>
                </c:pt>
                <c:pt idx="53">
                  <c:v>4747.3500000000004</c:v>
                </c:pt>
                <c:pt idx="54">
                  <c:v>1898.94</c:v>
                </c:pt>
                <c:pt idx="55">
                  <c:v>949.47</c:v>
                </c:pt>
                <c:pt idx="56">
                  <c:v>1898.94</c:v>
                </c:pt>
                <c:pt idx="57">
                  <c:v>3797.88</c:v>
                </c:pt>
                <c:pt idx="58">
                  <c:v>2848.41</c:v>
                </c:pt>
                <c:pt idx="59">
                  <c:v>2848.41</c:v>
                </c:pt>
                <c:pt idx="60">
                  <c:v>4747.3500000000004</c:v>
                </c:pt>
                <c:pt idx="61">
                  <c:v>2848.41</c:v>
                </c:pt>
                <c:pt idx="62">
                  <c:v>949.47</c:v>
                </c:pt>
                <c:pt idx="63">
                  <c:v>4747.3500000000004</c:v>
                </c:pt>
                <c:pt idx="64">
                  <c:v>4747.3500000000004</c:v>
                </c:pt>
                <c:pt idx="65">
                  <c:v>4747.3500000000004</c:v>
                </c:pt>
                <c:pt idx="66">
                  <c:v>3797.88</c:v>
                </c:pt>
                <c:pt idx="67">
                  <c:v>4747.3500000000004</c:v>
                </c:pt>
                <c:pt idx="68">
                  <c:v>3797.88</c:v>
                </c:pt>
                <c:pt idx="69">
                  <c:v>2848.41</c:v>
                </c:pt>
                <c:pt idx="70">
                  <c:v>4747.3500000000004</c:v>
                </c:pt>
                <c:pt idx="71">
                  <c:v>3797.88</c:v>
                </c:pt>
                <c:pt idx="72">
                  <c:v>949.47</c:v>
                </c:pt>
                <c:pt idx="73">
                  <c:v>2848.41</c:v>
                </c:pt>
                <c:pt idx="74">
                  <c:v>3797.88</c:v>
                </c:pt>
                <c:pt idx="75">
                  <c:v>2848.41</c:v>
                </c:pt>
                <c:pt idx="76">
                  <c:v>2785.14</c:v>
                </c:pt>
                <c:pt idx="77">
                  <c:v>4640.8999999999996</c:v>
                </c:pt>
                <c:pt idx="78">
                  <c:v>2784.54</c:v>
                </c:pt>
                <c:pt idx="79">
                  <c:v>4640.8999999999996</c:v>
                </c:pt>
                <c:pt idx="80">
                  <c:v>4115.8</c:v>
                </c:pt>
                <c:pt idx="81">
                  <c:v>2328.2400000000002</c:v>
                </c:pt>
                <c:pt idx="82">
                  <c:v>2998.68</c:v>
                </c:pt>
                <c:pt idx="83">
                  <c:v>2249.0099999999998</c:v>
                </c:pt>
                <c:pt idx="84">
                  <c:v>1499.34</c:v>
                </c:pt>
                <c:pt idx="85">
                  <c:v>3660.3500000000004</c:v>
                </c:pt>
                <c:pt idx="86">
                  <c:v>2664.09</c:v>
                </c:pt>
                <c:pt idx="87">
                  <c:v>4374.6499999999996</c:v>
                </c:pt>
                <c:pt idx="88">
                  <c:v>2196.21</c:v>
                </c:pt>
                <c:pt idx="89">
                  <c:v>3272.76</c:v>
                </c:pt>
                <c:pt idx="90">
                  <c:v>2928.28</c:v>
                </c:pt>
                <c:pt idx="91">
                  <c:v>1544.38</c:v>
                </c:pt>
                <c:pt idx="92">
                  <c:v>3859.8</c:v>
                </c:pt>
                <c:pt idx="93">
                  <c:v>2196.21</c:v>
                </c:pt>
                <c:pt idx="94">
                  <c:v>757.7</c:v>
                </c:pt>
                <c:pt idx="95">
                  <c:v>1502.54</c:v>
                </c:pt>
                <c:pt idx="96">
                  <c:v>1502.54</c:v>
                </c:pt>
                <c:pt idx="97">
                  <c:v>2167.1999999999998</c:v>
                </c:pt>
                <c:pt idx="98">
                  <c:v>1444.8</c:v>
                </c:pt>
                <c:pt idx="99">
                  <c:v>2889.6</c:v>
                </c:pt>
                <c:pt idx="100">
                  <c:v>1444.8</c:v>
                </c:pt>
                <c:pt idx="101">
                  <c:v>2167.1999999999998</c:v>
                </c:pt>
                <c:pt idx="102">
                  <c:v>2889.6</c:v>
                </c:pt>
                <c:pt idx="103">
                  <c:v>3612</c:v>
                </c:pt>
                <c:pt idx="104">
                  <c:v>722.4</c:v>
                </c:pt>
                <c:pt idx="105">
                  <c:v>2889.6</c:v>
                </c:pt>
                <c:pt idx="106">
                  <c:v>2167.1999999999998</c:v>
                </c:pt>
                <c:pt idx="107">
                  <c:v>3612</c:v>
                </c:pt>
                <c:pt idx="108">
                  <c:v>722.4</c:v>
                </c:pt>
                <c:pt idx="109">
                  <c:v>1444.8</c:v>
                </c:pt>
                <c:pt idx="110">
                  <c:v>722.4</c:v>
                </c:pt>
                <c:pt idx="111">
                  <c:v>2889.6</c:v>
                </c:pt>
                <c:pt idx="112">
                  <c:v>2889.6</c:v>
                </c:pt>
                <c:pt idx="113">
                  <c:v>722.4</c:v>
                </c:pt>
                <c:pt idx="114">
                  <c:v>3612</c:v>
                </c:pt>
                <c:pt idx="115">
                  <c:v>1182.5</c:v>
                </c:pt>
                <c:pt idx="116">
                  <c:v>2365</c:v>
                </c:pt>
                <c:pt idx="117">
                  <c:v>2889.45</c:v>
                </c:pt>
                <c:pt idx="118">
                  <c:v>577.89</c:v>
                </c:pt>
                <c:pt idx="119">
                  <c:v>2889.45</c:v>
                </c:pt>
                <c:pt idx="120">
                  <c:v>577.89</c:v>
                </c:pt>
                <c:pt idx="121">
                  <c:v>1155.78</c:v>
                </c:pt>
                <c:pt idx="122">
                  <c:v>2311.56</c:v>
                </c:pt>
                <c:pt idx="123">
                  <c:v>566.04</c:v>
                </c:pt>
                <c:pt idx="124">
                  <c:v>2662.8500000000004</c:v>
                </c:pt>
                <c:pt idx="125">
                  <c:v>2839.72</c:v>
                </c:pt>
                <c:pt idx="126">
                  <c:v>1419.86</c:v>
                </c:pt>
                <c:pt idx="127">
                  <c:v>3548.35</c:v>
                </c:pt>
                <c:pt idx="128">
                  <c:v>3410.4500000000003</c:v>
                </c:pt>
                <c:pt idx="129">
                  <c:v>1597.71</c:v>
                </c:pt>
                <c:pt idx="130">
                  <c:v>642.23</c:v>
                </c:pt>
                <c:pt idx="131">
                  <c:v>2656.3</c:v>
                </c:pt>
                <c:pt idx="132">
                  <c:v>1593.78</c:v>
                </c:pt>
                <c:pt idx="133">
                  <c:v>1593.78</c:v>
                </c:pt>
                <c:pt idx="134">
                  <c:v>2125.04</c:v>
                </c:pt>
                <c:pt idx="135">
                  <c:v>1863.64</c:v>
                </c:pt>
                <c:pt idx="136">
                  <c:v>1863.64</c:v>
                </c:pt>
                <c:pt idx="137">
                  <c:v>458.28</c:v>
                </c:pt>
                <c:pt idx="138">
                  <c:v>1374.84</c:v>
                </c:pt>
                <c:pt idx="139">
                  <c:v>1833.12</c:v>
                </c:pt>
                <c:pt idx="140">
                  <c:v>1833.12</c:v>
                </c:pt>
                <c:pt idx="141">
                  <c:v>1152.1600000000001</c:v>
                </c:pt>
                <c:pt idx="142">
                  <c:v>1698.8999999999999</c:v>
                </c:pt>
                <c:pt idx="143">
                  <c:v>1833.12</c:v>
                </c:pt>
                <c:pt idx="144">
                  <c:v>2702.55</c:v>
                </c:pt>
                <c:pt idx="145">
                  <c:v>916.56</c:v>
                </c:pt>
                <c:pt idx="146">
                  <c:v>916.56</c:v>
                </c:pt>
                <c:pt idx="147">
                  <c:v>1833.12</c:v>
                </c:pt>
                <c:pt idx="148">
                  <c:v>1833.12</c:v>
                </c:pt>
                <c:pt idx="149">
                  <c:v>458.28</c:v>
                </c:pt>
                <c:pt idx="150">
                  <c:v>1833.12</c:v>
                </c:pt>
                <c:pt idx="151">
                  <c:v>2100.3200000000002</c:v>
                </c:pt>
                <c:pt idx="152">
                  <c:v>1041.1400000000001</c:v>
                </c:pt>
                <c:pt idx="153">
                  <c:v>2573.9499999999998</c:v>
                </c:pt>
                <c:pt idx="154">
                  <c:v>1029.58</c:v>
                </c:pt>
                <c:pt idx="155">
                  <c:v>2559.7999999999997</c:v>
                </c:pt>
                <c:pt idx="156">
                  <c:v>1530.54</c:v>
                </c:pt>
                <c:pt idx="157">
                  <c:v>2291.3999999999996</c:v>
                </c:pt>
                <c:pt idx="158">
                  <c:v>1374.84</c:v>
                </c:pt>
                <c:pt idx="159">
                  <c:v>1833.12</c:v>
                </c:pt>
                <c:pt idx="160">
                  <c:v>458.28</c:v>
                </c:pt>
                <c:pt idx="161">
                  <c:v>458.28</c:v>
                </c:pt>
                <c:pt idx="162">
                  <c:v>2291.3999999999996</c:v>
                </c:pt>
                <c:pt idx="163">
                  <c:v>916.56</c:v>
                </c:pt>
                <c:pt idx="164">
                  <c:v>2285.65</c:v>
                </c:pt>
                <c:pt idx="165">
                  <c:v>1359.48</c:v>
                </c:pt>
                <c:pt idx="166">
                  <c:v>447.6</c:v>
                </c:pt>
                <c:pt idx="167">
                  <c:v>437.31</c:v>
                </c:pt>
                <c:pt idx="168">
                  <c:v>2057.7000000000003</c:v>
                </c:pt>
                <c:pt idx="169">
                  <c:v>716.62</c:v>
                </c:pt>
                <c:pt idx="170">
                  <c:v>1433.24</c:v>
                </c:pt>
                <c:pt idx="171">
                  <c:v>2316.5500000000002</c:v>
                </c:pt>
                <c:pt idx="172">
                  <c:v>2316.5500000000002</c:v>
                </c:pt>
                <c:pt idx="173">
                  <c:v>463.28</c:v>
                </c:pt>
                <c:pt idx="174">
                  <c:v>1853.12</c:v>
                </c:pt>
                <c:pt idx="175">
                  <c:v>463.28</c:v>
                </c:pt>
                <c:pt idx="176">
                  <c:v>1389.21</c:v>
                </c:pt>
                <c:pt idx="177">
                  <c:v>462.79</c:v>
                </c:pt>
                <c:pt idx="178">
                  <c:v>1842.8</c:v>
                </c:pt>
                <c:pt idx="179">
                  <c:v>460.7</c:v>
                </c:pt>
                <c:pt idx="180">
                  <c:v>716.62</c:v>
                </c:pt>
                <c:pt idx="181">
                  <c:v>2295.8000000000002</c:v>
                </c:pt>
                <c:pt idx="182">
                  <c:v>716.62</c:v>
                </c:pt>
                <c:pt idx="183">
                  <c:v>1433.24</c:v>
                </c:pt>
                <c:pt idx="184">
                  <c:v>358.31</c:v>
                </c:pt>
                <c:pt idx="185">
                  <c:v>358.31</c:v>
                </c:pt>
                <c:pt idx="186">
                  <c:v>1433.24</c:v>
                </c:pt>
                <c:pt idx="187">
                  <c:v>716.62</c:v>
                </c:pt>
                <c:pt idx="188">
                  <c:v>358.31</c:v>
                </c:pt>
                <c:pt idx="189">
                  <c:v>1665.3999999999999</c:v>
                </c:pt>
                <c:pt idx="190">
                  <c:v>635.34</c:v>
                </c:pt>
                <c:pt idx="191">
                  <c:v>597.20000000000005</c:v>
                </c:pt>
                <c:pt idx="192">
                  <c:v>1286.9000000000001</c:v>
                </c:pt>
                <c:pt idx="193">
                  <c:v>755.76</c:v>
                </c:pt>
                <c:pt idx="194">
                  <c:v>188.94</c:v>
                </c:pt>
                <c:pt idx="195">
                  <c:v>188.94</c:v>
                </c:pt>
                <c:pt idx="196">
                  <c:v>944.7</c:v>
                </c:pt>
                <c:pt idx="197">
                  <c:v>188.94</c:v>
                </c:pt>
                <c:pt idx="198">
                  <c:v>802.84999999999991</c:v>
                </c:pt>
                <c:pt idx="199">
                  <c:v>160.57</c:v>
                </c:pt>
                <c:pt idx="200">
                  <c:v>160.57</c:v>
                </c:pt>
                <c:pt idx="201">
                  <c:v>321.14</c:v>
                </c:pt>
                <c:pt idx="202">
                  <c:v>321.14</c:v>
                </c:pt>
                <c:pt idx="203">
                  <c:v>2189.25</c:v>
                </c:pt>
                <c:pt idx="204">
                  <c:v>1750.28</c:v>
                </c:pt>
                <c:pt idx="205">
                  <c:v>1311.99</c:v>
                </c:pt>
                <c:pt idx="206">
                  <c:v>642.28</c:v>
                </c:pt>
                <c:pt idx="207">
                  <c:v>862.8</c:v>
                </c:pt>
                <c:pt idx="208">
                  <c:v>849.44</c:v>
                </c:pt>
                <c:pt idx="209">
                  <c:v>1698.88</c:v>
                </c:pt>
                <c:pt idx="210">
                  <c:v>160.57</c:v>
                </c:pt>
                <c:pt idx="211">
                  <c:v>422.92</c:v>
                </c:pt>
                <c:pt idx="212">
                  <c:v>823.54</c:v>
                </c:pt>
                <c:pt idx="213">
                  <c:v>642.28</c:v>
                </c:pt>
                <c:pt idx="214">
                  <c:v>1234.71</c:v>
                </c:pt>
                <c:pt idx="215">
                  <c:v>1646.28</c:v>
                </c:pt>
                <c:pt idx="216">
                  <c:v>411.57</c:v>
                </c:pt>
                <c:pt idx="217">
                  <c:v>321.14</c:v>
                </c:pt>
                <c:pt idx="218">
                  <c:v>1220.0999999999999</c:v>
                </c:pt>
                <c:pt idx="219">
                  <c:v>1220.01</c:v>
                </c:pt>
                <c:pt idx="220">
                  <c:v>321.14</c:v>
                </c:pt>
                <c:pt idx="221">
                  <c:v>160.57</c:v>
                </c:pt>
                <c:pt idx="222">
                  <c:v>321.14</c:v>
                </c:pt>
                <c:pt idx="223">
                  <c:v>1993.6000000000001</c:v>
                </c:pt>
                <c:pt idx="224">
                  <c:v>397.93</c:v>
                </c:pt>
                <c:pt idx="225">
                  <c:v>1182.42</c:v>
                </c:pt>
                <c:pt idx="226">
                  <c:v>394.14</c:v>
                </c:pt>
                <c:pt idx="227">
                  <c:v>771.7</c:v>
                </c:pt>
                <c:pt idx="228">
                  <c:v>1522.8</c:v>
                </c:pt>
                <c:pt idx="229">
                  <c:v>378.36</c:v>
                </c:pt>
                <c:pt idx="230">
                  <c:v>377.04</c:v>
                </c:pt>
                <c:pt idx="231">
                  <c:v>372.73</c:v>
                </c:pt>
                <c:pt idx="232">
                  <c:v>370.13</c:v>
                </c:pt>
                <c:pt idx="233">
                  <c:v>802.84999999999991</c:v>
                </c:pt>
                <c:pt idx="234">
                  <c:v>642.28</c:v>
                </c:pt>
                <c:pt idx="235">
                  <c:v>321.14</c:v>
                </c:pt>
                <c:pt idx="236">
                  <c:v>1815.75</c:v>
                </c:pt>
                <c:pt idx="237">
                  <c:v>321.14</c:v>
                </c:pt>
                <c:pt idx="238">
                  <c:v>160.57</c:v>
                </c:pt>
                <c:pt idx="239">
                  <c:v>802.84999999999991</c:v>
                </c:pt>
                <c:pt idx="240">
                  <c:v>481.71</c:v>
                </c:pt>
                <c:pt idx="241">
                  <c:v>154.19999999999999</c:v>
                </c:pt>
                <c:pt idx="242">
                  <c:v>30.84</c:v>
                </c:pt>
                <c:pt idx="243">
                  <c:v>91.44</c:v>
                </c:pt>
                <c:pt idx="244">
                  <c:v>1544.42</c:v>
                </c:pt>
                <c:pt idx="245">
                  <c:v>1133.3599999999999</c:v>
                </c:pt>
                <c:pt idx="246">
                  <c:v>719.2</c:v>
                </c:pt>
                <c:pt idx="247">
                  <c:v>2266.7199999999998</c:v>
                </c:pt>
                <c:pt idx="248">
                  <c:v>3602.56</c:v>
                </c:pt>
                <c:pt idx="249">
                  <c:v>2701.92</c:v>
                </c:pt>
                <c:pt idx="250">
                  <c:v>4503.2</c:v>
                </c:pt>
                <c:pt idx="251">
                  <c:v>771.94</c:v>
                </c:pt>
                <c:pt idx="252">
                  <c:v>717.39</c:v>
                </c:pt>
                <c:pt idx="253">
                  <c:v>1434.78</c:v>
                </c:pt>
                <c:pt idx="254">
                  <c:v>2152.17</c:v>
                </c:pt>
                <c:pt idx="255">
                  <c:v>1286.46</c:v>
                </c:pt>
                <c:pt idx="256">
                  <c:v>1177.8399999999999</c:v>
                </c:pt>
                <c:pt idx="257">
                  <c:v>1425</c:v>
                </c:pt>
                <c:pt idx="258">
                  <c:v>1404.4</c:v>
                </c:pt>
                <c:pt idx="259">
                  <c:v>694.98</c:v>
                </c:pt>
                <c:pt idx="260">
                  <c:v>1041.72</c:v>
                </c:pt>
                <c:pt idx="261">
                  <c:v>1670.5500000000002</c:v>
                </c:pt>
                <c:pt idx="262">
                  <c:v>334.11</c:v>
                </c:pt>
                <c:pt idx="263">
                  <c:v>1336.44</c:v>
                </c:pt>
                <c:pt idx="264">
                  <c:v>2895.7</c:v>
                </c:pt>
                <c:pt idx="265">
                  <c:v>1286.92</c:v>
                </c:pt>
                <c:pt idx="266">
                  <c:v>1509.27</c:v>
                </c:pt>
                <c:pt idx="267">
                  <c:v>1006.18</c:v>
                </c:pt>
                <c:pt idx="268">
                  <c:v>617.72</c:v>
                </c:pt>
                <c:pt idx="269">
                  <c:v>1234.52</c:v>
                </c:pt>
                <c:pt idx="270">
                  <c:v>925.89</c:v>
                </c:pt>
                <c:pt idx="271">
                  <c:v>1234.44</c:v>
                </c:pt>
                <c:pt idx="272">
                  <c:v>1543.0500000000002</c:v>
                </c:pt>
                <c:pt idx="273">
                  <c:v>1234.44</c:v>
                </c:pt>
                <c:pt idx="274">
                  <c:v>1234.44</c:v>
                </c:pt>
                <c:pt idx="275">
                  <c:v>1233.8</c:v>
                </c:pt>
                <c:pt idx="276">
                  <c:v>308.45</c:v>
                </c:pt>
                <c:pt idx="277">
                  <c:v>925.34999999999991</c:v>
                </c:pt>
                <c:pt idx="278">
                  <c:v>977.6</c:v>
                </c:pt>
                <c:pt idx="279">
                  <c:v>488.8</c:v>
                </c:pt>
                <c:pt idx="280">
                  <c:v>607.48</c:v>
                </c:pt>
                <c:pt idx="281">
                  <c:v>2444</c:v>
                </c:pt>
                <c:pt idx="282">
                  <c:v>597.66</c:v>
                </c:pt>
                <c:pt idx="283">
                  <c:v>1466.4</c:v>
                </c:pt>
                <c:pt idx="284">
                  <c:v>881.09999999999991</c:v>
                </c:pt>
                <c:pt idx="285">
                  <c:v>1468.45</c:v>
                </c:pt>
                <c:pt idx="286">
                  <c:v>488.8</c:v>
                </c:pt>
                <c:pt idx="287">
                  <c:v>977.6</c:v>
                </c:pt>
                <c:pt idx="288">
                  <c:v>2444</c:v>
                </c:pt>
                <c:pt idx="289">
                  <c:v>1415.6</c:v>
                </c:pt>
                <c:pt idx="290">
                  <c:v>283.08999999999997</c:v>
                </c:pt>
                <c:pt idx="291">
                  <c:v>848.67</c:v>
                </c:pt>
                <c:pt idx="292">
                  <c:v>563.41999999999996</c:v>
                </c:pt>
                <c:pt idx="293">
                  <c:v>561.14</c:v>
                </c:pt>
                <c:pt idx="294">
                  <c:v>829.47</c:v>
                </c:pt>
                <c:pt idx="295">
                  <c:v>488.8</c:v>
                </c:pt>
                <c:pt idx="296">
                  <c:v>977.6</c:v>
                </c:pt>
                <c:pt idx="297">
                  <c:v>2444</c:v>
                </c:pt>
                <c:pt idx="298">
                  <c:v>921</c:v>
                </c:pt>
                <c:pt idx="299">
                  <c:v>1698.8</c:v>
                </c:pt>
                <c:pt idx="300">
                  <c:v>1234.77</c:v>
                </c:pt>
                <c:pt idx="301">
                  <c:v>1197.78</c:v>
                </c:pt>
                <c:pt idx="302">
                  <c:v>1196.8499999999999</c:v>
                </c:pt>
                <c:pt idx="303">
                  <c:v>1196.8499999999999</c:v>
                </c:pt>
                <c:pt idx="304">
                  <c:v>1108.3499999999999</c:v>
                </c:pt>
                <c:pt idx="305">
                  <c:v>738.9</c:v>
                </c:pt>
                <c:pt idx="306">
                  <c:v>1477.8</c:v>
                </c:pt>
                <c:pt idx="307">
                  <c:v>724.58</c:v>
                </c:pt>
                <c:pt idx="308">
                  <c:v>1086.8700000000001</c:v>
                </c:pt>
                <c:pt idx="309">
                  <c:v>1086.8700000000001</c:v>
                </c:pt>
                <c:pt idx="310">
                  <c:v>1091.2</c:v>
                </c:pt>
                <c:pt idx="311">
                  <c:v>1362.7</c:v>
                </c:pt>
                <c:pt idx="312">
                  <c:v>1348.8999999999999</c:v>
                </c:pt>
                <c:pt idx="313">
                  <c:v>809.33999999999992</c:v>
                </c:pt>
                <c:pt idx="314">
                  <c:v>809.33999999999992</c:v>
                </c:pt>
                <c:pt idx="315">
                  <c:v>1071.8399999999999</c:v>
                </c:pt>
                <c:pt idx="316">
                  <c:v>1064</c:v>
                </c:pt>
                <c:pt idx="317">
                  <c:v>530.78</c:v>
                </c:pt>
                <c:pt idx="318">
                  <c:v>1311.5</c:v>
                </c:pt>
                <c:pt idx="319">
                  <c:v>1811.45</c:v>
                </c:pt>
                <c:pt idx="320">
                  <c:v>1302.6499999999999</c:v>
                </c:pt>
                <c:pt idx="321">
                  <c:v>1086.8700000000001</c:v>
                </c:pt>
                <c:pt idx="322">
                  <c:v>1811.45</c:v>
                </c:pt>
                <c:pt idx="323">
                  <c:v>1029.52</c:v>
                </c:pt>
                <c:pt idx="324">
                  <c:v>1029.52</c:v>
                </c:pt>
                <c:pt idx="325">
                  <c:v>771.44999999999993</c:v>
                </c:pt>
                <c:pt idx="326">
                  <c:v>257.14999999999998</c:v>
                </c:pt>
                <c:pt idx="327">
                  <c:v>771.36</c:v>
                </c:pt>
                <c:pt idx="328">
                  <c:v>770.22</c:v>
                </c:pt>
                <c:pt idx="329">
                  <c:v>770.22</c:v>
                </c:pt>
                <c:pt idx="330">
                  <c:v>254.78</c:v>
                </c:pt>
                <c:pt idx="331">
                  <c:v>509.42</c:v>
                </c:pt>
                <c:pt idx="332">
                  <c:v>504.46</c:v>
                </c:pt>
                <c:pt idx="333">
                  <c:v>252.23</c:v>
                </c:pt>
                <c:pt idx="334">
                  <c:v>504.46</c:v>
                </c:pt>
                <c:pt idx="335">
                  <c:v>755.84999999999991</c:v>
                </c:pt>
                <c:pt idx="336">
                  <c:v>244.02</c:v>
                </c:pt>
                <c:pt idx="337">
                  <c:v>243.96</c:v>
                </c:pt>
                <c:pt idx="338">
                  <c:v>724.58</c:v>
                </c:pt>
                <c:pt idx="339">
                  <c:v>362.29</c:v>
                </c:pt>
                <c:pt idx="340">
                  <c:v>362.29</c:v>
                </c:pt>
                <c:pt idx="341">
                  <c:v>1255.1199999999999</c:v>
                </c:pt>
                <c:pt idx="342">
                  <c:v>1224.2</c:v>
                </c:pt>
                <c:pt idx="343">
                  <c:v>918.15000000000009</c:v>
                </c:pt>
                <c:pt idx="344">
                  <c:v>903.24</c:v>
                </c:pt>
                <c:pt idx="345">
                  <c:v>1163.28</c:v>
                </c:pt>
                <c:pt idx="346">
                  <c:v>581.64</c:v>
                </c:pt>
                <c:pt idx="347">
                  <c:v>1454.1</c:v>
                </c:pt>
                <c:pt idx="348">
                  <c:v>1101</c:v>
                </c:pt>
                <c:pt idx="349">
                  <c:v>1101</c:v>
                </c:pt>
                <c:pt idx="350">
                  <c:v>825.75</c:v>
                </c:pt>
                <c:pt idx="351">
                  <c:v>1376.25</c:v>
                </c:pt>
                <c:pt idx="352">
                  <c:v>1376.25</c:v>
                </c:pt>
                <c:pt idx="353">
                  <c:v>275.25</c:v>
                </c:pt>
                <c:pt idx="354">
                  <c:v>550.5</c:v>
                </c:pt>
                <c:pt idx="355">
                  <c:v>550.5</c:v>
                </c:pt>
                <c:pt idx="356">
                  <c:v>550.5</c:v>
                </c:pt>
                <c:pt idx="357">
                  <c:v>550.5</c:v>
                </c:pt>
                <c:pt idx="358">
                  <c:v>825.75</c:v>
                </c:pt>
                <c:pt idx="359">
                  <c:v>1101</c:v>
                </c:pt>
                <c:pt idx="360">
                  <c:v>825.75</c:v>
                </c:pt>
                <c:pt idx="361">
                  <c:v>273.56</c:v>
                </c:pt>
                <c:pt idx="362">
                  <c:v>273.56</c:v>
                </c:pt>
                <c:pt idx="363">
                  <c:v>784.94999999999993</c:v>
                </c:pt>
                <c:pt idx="364">
                  <c:v>1031.48</c:v>
                </c:pt>
                <c:pt idx="365">
                  <c:v>242.72</c:v>
                </c:pt>
                <c:pt idx="366">
                  <c:v>970.88</c:v>
                </c:pt>
                <c:pt idx="367">
                  <c:v>970.88</c:v>
                </c:pt>
                <c:pt idx="368">
                  <c:v>970.88</c:v>
                </c:pt>
                <c:pt idx="369">
                  <c:v>1213.5999999999999</c:v>
                </c:pt>
                <c:pt idx="370">
                  <c:v>718.08</c:v>
                </c:pt>
                <c:pt idx="371">
                  <c:v>703.5</c:v>
                </c:pt>
                <c:pt idx="372">
                  <c:v>926.56</c:v>
                </c:pt>
                <c:pt idx="373">
                  <c:v>1158.1999999999998</c:v>
                </c:pt>
                <c:pt idx="374">
                  <c:v>1158.1999999999998</c:v>
                </c:pt>
                <c:pt idx="375">
                  <c:v>926.56</c:v>
                </c:pt>
                <c:pt idx="376">
                  <c:v>463.28</c:v>
                </c:pt>
                <c:pt idx="377">
                  <c:v>230.93</c:v>
                </c:pt>
                <c:pt idx="378">
                  <c:v>230.93</c:v>
                </c:pt>
                <c:pt idx="379">
                  <c:v>461.86</c:v>
                </c:pt>
                <c:pt idx="380">
                  <c:v>1154.6500000000001</c:v>
                </c:pt>
                <c:pt idx="381">
                  <c:v>1154.6500000000001</c:v>
                </c:pt>
                <c:pt idx="382">
                  <c:v>485.44</c:v>
                </c:pt>
                <c:pt idx="383">
                  <c:v>1213.1500000000001</c:v>
                </c:pt>
                <c:pt idx="384">
                  <c:v>485.26</c:v>
                </c:pt>
                <c:pt idx="385">
                  <c:v>242.63</c:v>
                </c:pt>
                <c:pt idx="386">
                  <c:v>1213.1500000000001</c:v>
                </c:pt>
                <c:pt idx="387">
                  <c:v>1213.1500000000001</c:v>
                </c:pt>
                <c:pt idx="388">
                  <c:v>970.52</c:v>
                </c:pt>
                <c:pt idx="389">
                  <c:v>970.52</c:v>
                </c:pt>
                <c:pt idx="390">
                  <c:v>727.89</c:v>
                </c:pt>
                <c:pt idx="391">
                  <c:v>727.89</c:v>
                </c:pt>
                <c:pt idx="392">
                  <c:v>228.76</c:v>
                </c:pt>
                <c:pt idx="393">
                  <c:v>456.94</c:v>
                </c:pt>
                <c:pt idx="394">
                  <c:v>1135.1500000000001</c:v>
                </c:pt>
                <c:pt idx="395">
                  <c:v>225.83</c:v>
                </c:pt>
                <c:pt idx="396">
                  <c:v>224.6</c:v>
                </c:pt>
                <c:pt idx="397">
                  <c:v>727.89</c:v>
                </c:pt>
                <c:pt idx="398">
                  <c:v>970.52</c:v>
                </c:pt>
                <c:pt idx="399">
                  <c:v>485.26</c:v>
                </c:pt>
                <c:pt idx="400">
                  <c:v>485.26</c:v>
                </c:pt>
                <c:pt idx="401">
                  <c:v>242.63</c:v>
                </c:pt>
                <c:pt idx="402">
                  <c:v>446.34</c:v>
                </c:pt>
                <c:pt idx="403">
                  <c:v>1093.8500000000001</c:v>
                </c:pt>
                <c:pt idx="404">
                  <c:v>1093.8500000000001</c:v>
                </c:pt>
                <c:pt idx="405">
                  <c:v>1093.8500000000001</c:v>
                </c:pt>
                <c:pt idx="406">
                  <c:v>437.08</c:v>
                </c:pt>
                <c:pt idx="407">
                  <c:v>645.56999999999994</c:v>
                </c:pt>
                <c:pt idx="408">
                  <c:v>636.99</c:v>
                </c:pt>
                <c:pt idx="409">
                  <c:v>1060.5</c:v>
                </c:pt>
                <c:pt idx="410">
                  <c:v>424.16</c:v>
                </c:pt>
                <c:pt idx="411">
                  <c:v>848.32</c:v>
                </c:pt>
                <c:pt idx="412">
                  <c:v>424.16</c:v>
                </c:pt>
                <c:pt idx="413">
                  <c:v>636.24</c:v>
                </c:pt>
                <c:pt idx="414">
                  <c:v>636.24</c:v>
                </c:pt>
                <c:pt idx="415">
                  <c:v>212.08</c:v>
                </c:pt>
                <c:pt idx="416">
                  <c:v>847.68</c:v>
                </c:pt>
                <c:pt idx="417">
                  <c:v>423.84</c:v>
                </c:pt>
                <c:pt idx="418">
                  <c:v>847.68</c:v>
                </c:pt>
                <c:pt idx="419">
                  <c:v>210.79</c:v>
                </c:pt>
                <c:pt idx="420">
                  <c:v>209.79</c:v>
                </c:pt>
                <c:pt idx="421">
                  <c:v>206.96</c:v>
                </c:pt>
                <c:pt idx="422">
                  <c:v>205.67</c:v>
                </c:pt>
                <c:pt idx="423">
                  <c:v>205.67</c:v>
                </c:pt>
                <c:pt idx="424">
                  <c:v>1028.3499999999999</c:v>
                </c:pt>
                <c:pt idx="425">
                  <c:v>617.01</c:v>
                </c:pt>
                <c:pt idx="426">
                  <c:v>818.56</c:v>
                </c:pt>
                <c:pt idx="427">
                  <c:v>610.04999999999995</c:v>
                </c:pt>
                <c:pt idx="428">
                  <c:v>1015.45</c:v>
                </c:pt>
                <c:pt idx="429">
                  <c:v>406.18</c:v>
                </c:pt>
                <c:pt idx="430">
                  <c:v>406.18</c:v>
                </c:pt>
                <c:pt idx="431">
                  <c:v>609.27</c:v>
                </c:pt>
                <c:pt idx="432">
                  <c:v>203.09</c:v>
                </c:pt>
                <c:pt idx="433">
                  <c:v>203.09</c:v>
                </c:pt>
                <c:pt idx="434">
                  <c:v>1015.45</c:v>
                </c:pt>
                <c:pt idx="435">
                  <c:v>406.18</c:v>
                </c:pt>
                <c:pt idx="436">
                  <c:v>609.27</c:v>
                </c:pt>
                <c:pt idx="437">
                  <c:v>406.18</c:v>
                </c:pt>
                <c:pt idx="438">
                  <c:v>200.66</c:v>
                </c:pt>
                <c:pt idx="439">
                  <c:v>976.75</c:v>
                </c:pt>
                <c:pt idx="440">
                  <c:v>970.52</c:v>
                </c:pt>
                <c:pt idx="441">
                  <c:v>1213.1500000000001</c:v>
                </c:pt>
                <c:pt idx="442">
                  <c:v>485.26</c:v>
                </c:pt>
                <c:pt idx="443">
                  <c:v>242.63</c:v>
                </c:pt>
                <c:pt idx="444">
                  <c:v>970.52</c:v>
                </c:pt>
                <c:pt idx="445">
                  <c:v>242.63</c:v>
                </c:pt>
                <c:pt idx="446">
                  <c:v>778.4</c:v>
                </c:pt>
                <c:pt idx="447">
                  <c:v>1213.1500000000001</c:v>
                </c:pt>
                <c:pt idx="448">
                  <c:v>579.09</c:v>
                </c:pt>
                <c:pt idx="449">
                  <c:v>385.6</c:v>
                </c:pt>
                <c:pt idx="450">
                  <c:v>578.40000000000009</c:v>
                </c:pt>
                <c:pt idx="451">
                  <c:v>569.91</c:v>
                </c:pt>
                <c:pt idx="452">
                  <c:v>759.88</c:v>
                </c:pt>
                <c:pt idx="453">
                  <c:v>759.88</c:v>
                </c:pt>
                <c:pt idx="454">
                  <c:v>569.91</c:v>
                </c:pt>
                <c:pt idx="455">
                  <c:v>949.85</c:v>
                </c:pt>
                <c:pt idx="456">
                  <c:v>569.91</c:v>
                </c:pt>
                <c:pt idx="457">
                  <c:v>189.97</c:v>
                </c:pt>
                <c:pt idx="458">
                  <c:v>379.94</c:v>
                </c:pt>
                <c:pt idx="459">
                  <c:v>949.85</c:v>
                </c:pt>
                <c:pt idx="460">
                  <c:v>379.94</c:v>
                </c:pt>
                <c:pt idx="461">
                  <c:v>379.94</c:v>
                </c:pt>
                <c:pt idx="462">
                  <c:v>727.89</c:v>
                </c:pt>
                <c:pt idx="463">
                  <c:v>242.63</c:v>
                </c:pt>
                <c:pt idx="464">
                  <c:v>485.26</c:v>
                </c:pt>
                <c:pt idx="465">
                  <c:v>727.89</c:v>
                </c:pt>
                <c:pt idx="466">
                  <c:v>242.63</c:v>
                </c:pt>
                <c:pt idx="467">
                  <c:v>558.33000000000004</c:v>
                </c:pt>
                <c:pt idx="468">
                  <c:v>929.25</c:v>
                </c:pt>
                <c:pt idx="469">
                  <c:v>180.16</c:v>
                </c:pt>
                <c:pt idx="470">
                  <c:v>720.64</c:v>
                </c:pt>
                <c:pt idx="471">
                  <c:v>540.48</c:v>
                </c:pt>
                <c:pt idx="472">
                  <c:v>538.23</c:v>
                </c:pt>
                <c:pt idx="473">
                  <c:v>895.6</c:v>
                </c:pt>
                <c:pt idx="474">
                  <c:v>894.5</c:v>
                </c:pt>
                <c:pt idx="475">
                  <c:v>715.48</c:v>
                </c:pt>
                <c:pt idx="476">
                  <c:v>178.87</c:v>
                </c:pt>
                <c:pt idx="477">
                  <c:v>715.48</c:v>
                </c:pt>
                <c:pt idx="478">
                  <c:v>894.35</c:v>
                </c:pt>
                <c:pt idx="479">
                  <c:v>715.48</c:v>
                </c:pt>
                <c:pt idx="480">
                  <c:v>531.81000000000006</c:v>
                </c:pt>
                <c:pt idx="481">
                  <c:v>531.81000000000006</c:v>
                </c:pt>
                <c:pt idx="482">
                  <c:v>886.35</c:v>
                </c:pt>
                <c:pt idx="483">
                  <c:v>709.08</c:v>
                </c:pt>
                <c:pt idx="484">
                  <c:v>709.08</c:v>
                </c:pt>
                <c:pt idx="485">
                  <c:v>880.19999999999993</c:v>
                </c:pt>
                <c:pt idx="486">
                  <c:v>525.12</c:v>
                </c:pt>
                <c:pt idx="487">
                  <c:v>175.01</c:v>
                </c:pt>
                <c:pt idx="488">
                  <c:v>517.38</c:v>
                </c:pt>
                <c:pt idx="489">
                  <c:v>862.30000000000007</c:v>
                </c:pt>
                <c:pt idx="490">
                  <c:v>1149.5</c:v>
                </c:pt>
                <c:pt idx="491">
                  <c:v>919.6</c:v>
                </c:pt>
                <c:pt idx="492">
                  <c:v>919.6</c:v>
                </c:pt>
                <c:pt idx="493">
                  <c:v>919.6</c:v>
                </c:pt>
                <c:pt idx="494">
                  <c:v>459.8</c:v>
                </c:pt>
                <c:pt idx="495">
                  <c:v>919.6</c:v>
                </c:pt>
                <c:pt idx="496">
                  <c:v>689.7</c:v>
                </c:pt>
                <c:pt idx="497">
                  <c:v>689.7</c:v>
                </c:pt>
                <c:pt idx="498">
                  <c:v>459.8</c:v>
                </c:pt>
                <c:pt idx="499">
                  <c:v>1149.5</c:v>
                </c:pt>
                <c:pt idx="500">
                  <c:v>895.8</c:v>
                </c:pt>
                <c:pt idx="501">
                  <c:v>447.9</c:v>
                </c:pt>
                <c:pt idx="502">
                  <c:v>223.95</c:v>
                </c:pt>
                <c:pt idx="503">
                  <c:v>895.8</c:v>
                </c:pt>
                <c:pt idx="504">
                  <c:v>671.84999999999991</c:v>
                </c:pt>
                <c:pt idx="505">
                  <c:v>780.24</c:v>
                </c:pt>
                <c:pt idx="506">
                  <c:v>195.06</c:v>
                </c:pt>
                <c:pt idx="507">
                  <c:v>585.18000000000006</c:v>
                </c:pt>
                <c:pt idx="508">
                  <c:v>171.17</c:v>
                </c:pt>
                <c:pt idx="509">
                  <c:v>339.62</c:v>
                </c:pt>
                <c:pt idx="510">
                  <c:v>848.15</c:v>
                </c:pt>
                <c:pt idx="511">
                  <c:v>169.63</c:v>
                </c:pt>
                <c:pt idx="512">
                  <c:v>508.11</c:v>
                </c:pt>
                <c:pt idx="513">
                  <c:v>506.58000000000004</c:v>
                </c:pt>
                <c:pt idx="514">
                  <c:v>334.62</c:v>
                </c:pt>
                <c:pt idx="515">
                  <c:v>669.16</c:v>
                </c:pt>
                <c:pt idx="516">
                  <c:v>668.44</c:v>
                </c:pt>
                <c:pt idx="517">
                  <c:v>334.12</c:v>
                </c:pt>
                <c:pt idx="518">
                  <c:v>835.3</c:v>
                </c:pt>
                <c:pt idx="519">
                  <c:v>832.05</c:v>
                </c:pt>
                <c:pt idx="520">
                  <c:v>329.9</c:v>
                </c:pt>
                <c:pt idx="521">
                  <c:v>824.75</c:v>
                </c:pt>
                <c:pt idx="522">
                  <c:v>494.84999999999997</c:v>
                </c:pt>
                <c:pt idx="523">
                  <c:v>329.9</c:v>
                </c:pt>
                <c:pt idx="524">
                  <c:v>329.9</c:v>
                </c:pt>
                <c:pt idx="525">
                  <c:v>658.84</c:v>
                </c:pt>
                <c:pt idx="526">
                  <c:v>390.12</c:v>
                </c:pt>
                <c:pt idx="527">
                  <c:v>585.18000000000006</c:v>
                </c:pt>
                <c:pt idx="528">
                  <c:v>585.18000000000006</c:v>
                </c:pt>
                <c:pt idx="529">
                  <c:v>773.04</c:v>
                </c:pt>
                <c:pt idx="530">
                  <c:v>516.68999999999994</c:v>
                </c:pt>
                <c:pt idx="531">
                  <c:v>861.15</c:v>
                </c:pt>
                <c:pt idx="532">
                  <c:v>688.92</c:v>
                </c:pt>
                <c:pt idx="533">
                  <c:v>516.68999999999994</c:v>
                </c:pt>
                <c:pt idx="534">
                  <c:v>172.23</c:v>
                </c:pt>
                <c:pt idx="535">
                  <c:v>861.15</c:v>
                </c:pt>
                <c:pt idx="536">
                  <c:v>344.46</c:v>
                </c:pt>
                <c:pt idx="537">
                  <c:v>344.46</c:v>
                </c:pt>
                <c:pt idx="538">
                  <c:v>516.68999999999994</c:v>
                </c:pt>
                <c:pt idx="539">
                  <c:v>344.46</c:v>
                </c:pt>
                <c:pt idx="540">
                  <c:v>344.46</c:v>
                </c:pt>
                <c:pt idx="541">
                  <c:v>344.46</c:v>
                </c:pt>
                <c:pt idx="542">
                  <c:v>344.46</c:v>
                </c:pt>
                <c:pt idx="543">
                  <c:v>688.92</c:v>
                </c:pt>
                <c:pt idx="544">
                  <c:v>344.46</c:v>
                </c:pt>
                <c:pt idx="545">
                  <c:v>474.15000000000003</c:v>
                </c:pt>
                <c:pt idx="546">
                  <c:v>154.44</c:v>
                </c:pt>
                <c:pt idx="547">
                  <c:v>462.57</c:v>
                </c:pt>
                <c:pt idx="548">
                  <c:v>616.76</c:v>
                </c:pt>
                <c:pt idx="549">
                  <c:v>308.32</c:v>
                </c:pt>
                <c:pt idx="550">
                  <c:v>344.46</c:v>
                </c:pt>
                <c:pt idx="551">
                  <c:v>302.2</c:v>
                </c:pt>
                <c:pt idx="552">
                  <c:v>452.90999999999997</c:v>
                </c:pt>
                <c:pt idx="553">
                  <c:v>301.94</c:v>
                </c:pt>
                <c:pt idx="554">
                  <c:v>301.94</c:v>
                </c:pt>
                <c:pt idx="555">
                  <c:v>301.89999999999998</c:v>
                </c:pt>
                <c:pt idx="556">
                  <c:v>600.16</c:v>
                </c:pt>
                <c:pt idx="557">
                  <c:v>440.54999999999995</c:v>
                </c:pt>
                <c:pt idx="558">
                  <c:v>726.80000000000007</c:v>
                </c:pt>
                <c:pt idx="559">
                  <c:v>144.12</c:v>
                </c:pt>
                <c:pt idx="560">
                  <c:v>571.36</c:v>
                </c:pt>
                <c:pt idx="561">
                  <c:v>707.75</c:v>
                </c:pt>
                <c:pt idx="562">
                  <c:v>704.09999999999991</c:v>
                </c:pt>
                <c:pt idx="563">
                  <c:v>172.23</c:v>
                </c:pt>
                <c:pt idx="564">
                  <c:v>172.22</c:v>
                </c:pt>
                <c:pt idx="565">
                  <c:v>616.64</c:v>
                </c:pt>
                <c:pt idx="566">
                  <c:v>139.68</c:v>
                </c:pt>
                <c:pt idx="567">
                  <c:v>558.72</c:v>
                </c:pt>
                <c:pt idx="568">
                  <c:v>698.40000000000009</c:v>
                </c:pt>
                <c:pt idx="569">
                  <c:v>558.72</c:v>
                </c:pt>
                <c:pt idx="570">
                  <c:v>279.36</c:v>
                </c:pt>
                <c:pt idx="571">
                  <c:v>419.04</c:v>
                </c:pt>
                <c:pt idx="572">
                  <c:v>558.72</c:v>
                </c:pt>
                <c:pt idx="573">
                  <c:v>558.72</c:v>
                </c:pt>
                <c:pt idx="574">
                  <c:v>419.04</c:v>
                </c:pt>
                <c:pt idx="575">
                  <c:v>419.04</c:v>
                </c:pt>
                <c:pt idx="576">
                  <c:v>139.63999999999999</c:v>
                </c:pt>
                <c:pt idx="577">
                  <c:v>139.63999999999999</c:v>
                </c:pt>
                <c:pt idx="578">
                  <c:v>138.71</c:v>
                </c:pt>
                <c:pt idx="579">
                  <c:v>693.55000000000007</c:v>
                </c:pt>
                <c:pt idx="580">
                  <c:v>548.72</c:v>
                </c:pt>
                <c:pt idx="581">
                  <c:v>408.51</c:v>
                </c:pt>
                <c:pt idx="582">
                  <c:v>270.02</c:v>
                </c:pt>
                <c:pt idx="583">
                  <c:v>135.01</c:v>
                </c:pt>
                <c:pt idx="584">
                  <c:v>401.49</c:v>
                </c:pt>
                <c:pt idx="585">
                  <c:v>279.27999999999997</c:v>
                </c:pt>
                <c:pt idx="586">
                  <c:v>558.55999999999995</c:v>
                </c:pt>
                <c:pt idx="587">
                  <c:v>558.55999999999995</c:v>
                </c:pt>
                <c:pt idx="588">
                  <c:v>514.72</c:v>
                </c:pt>
                <c:pt idx="589">
                  <c:v>514.72</c:v>
                </c:pt>
                <c:pt idx="590">
                  <c:v>657.65</c:v>
                </c:pt>
                <c:pt idx="591">
                  <c:v>657.65</c:v>
                </c:pt>
                <c:pt idx="592">
                  <c:v>657.65</c:v>
                </c:pt>
                <c:pt idx="593">
                  <c:v>256.83999999999997</c:v>
                </c:pt>
                <c:pt idx="594">
                  <c:v>256.83999999999997</c:v>
                </c:pt>
                <c:pt idx="595">
                  <c:v>256.83999999999997</c:v>
                </c:pt>
                <c:pt idx="596">
                  <c:v>513.67999999999995</c:v>
                </c:pt>
                <c:pt idx="597">
                  <c:v>513.67999999999995</c:v>
                </c:pt>
                <c:pt idx="598">
                  <c:v>513.67999999999995</c:v>
                </c:pt>
                <c:pt idx="599">
                  <c:v>256.83999999999997</c:v>
                </c:pt>
                <c:pt idx="600">
                  <c:v>385.26</c:v>
                </c:pt>
                <c:pt idx="601">
                  <c:v>256.83999999999997</c:v>
                </c:pt>
                <c:pt idx="602">
                  <c:v>385.26</c:v>
                </c:pt>
                <c:pt idx="603">
                  <c:v>256.83999999999997</c:v>
                </c:pt>
                <c:pt idx="604">
                  <c:v>642.09999999999991</c:v>
                </c:pt>
                <c:pt idx="605">
                  <c:v>128.41999999999999</c:v>
                </c:pt>
                <c:pt idx="606">
                  <c:v>128.41999999999999</c:v>
                </c:pt>
                <c:pt idx="607">
                  <c:v>128.41999999999999</c:v>
                </c:pt>
                <c:pt idx="608">
                  <c:v>513.67999999999995</c:v>
                </c:pt>
                <c:pt idx="609">
                  <c:v>385.26</c:v>
                </c:pt>
                <c:pt idx="610">
                  <c:v>642.09999999999991</c:v>
                </c:pt>
                <c:pt idx="611">
                  <c:v>385.26</c:v>
                </c:pt>
                <c:pt idx="612">
                  <c:v>642.09999999999991</c:v>
                </c:pt>
                <c:pt idx="613">
                  <c:v>128.41999999999999</c:v>
                </c:pt>
                <c:pt idx="614">
                  <c:v>642.09999999999991</c:v>
                </c:pt>
                <c:pt idx="615">
                  <c:v>256.83999999999997</c:v>
                </c:pt>
                <c:pt idx="616">
                  <c:v>128.41999999999999</c:v>
                </c:pt>
                <c:pt idx="617">
                  <c:v>256.83999999999997</c:v>
                </c:pt>
                <c:pt idx="618">
                  <c:v>128.41999999999999</c:v>
                </c:pt>
                <c:pt idx="619">
                  <c:v>513.67999999999995</c:v>
                </c:pt>
                <c:pt idx="620">
                  <c:v>642.09999999999991</c:v>
                </c:pt>
                <c:pt idx="621">
                  <c:v>513.67999999999995</c:v>
                </c:pt>
                <c:pt idx="622">
                  <c:v>385.26</c:v>
                </c:pt>
                <c:pt idx="623">
                  <c:v>385.26</c:v>
                </c:pt>
                <c:pt idx="624">
                  <c:v>128.41999999999999</c:v>
                </c:pt>
                <c:pt idx="625">
                  <c:v>128.41999999999999</c:v>
                </c:pt>
                <c:pt idx="626">
                  <c:v>256.83999999999997</c:v>
                </c:pt>
                <c:pt idx="627">
                  <c:v>256.83999999999997</c:v>
                </c:pt>
                <c:pt idx="628">
                  <c:v>642.09999999999991</c:v>
                </c:pt>
                <c:pt idx="629">
                  <c:v>642.09999999999991</c:v>
                </c:pt>
                <c:pt idx="630">
                  <c:v>385.26</c:v>
                </c:pt>
                <c:pt idx="631">
                  <c:v>642.09999999999991</c:v>
                </c:pt>
                <c:pt idx="632">
                  <c:v>128.41999999999999</c:v>
                </c:pt>
                <c:pt idx="633">
                  <c:v>256.83999999999997</c:v>
                </c:pt>
                <c:pt idx="634">
                  <c:v>128.41999999999999</c:v>
                </c:pt>
                <c:pt idx="635">
                  <c:v>254.78</c:v>
                </c:pt>
                <c:pt idx="636">
                  <c:v>502.44</c:v>
                </c:pt>
                <c:pt idx="637">
                  <c:v>502.44</c:v>
                </c:pt>
                <c:pt idx="638">
                  <c:v>125.61</c:v>
                </c:pt>
                <c:pt idx="639">
                  <c:v>619.04999999999995</c:v>
                </c:pt>
                <c:pt idx="640">
                  <c:v>617.79999999999995</c:v>
                </c:pt>
                <c:pt idx="641">
                  <c:v>366.42</c:v>
                </c:pt>
                <c:pt idx="642">
                  <c:v>121.24</c:v>
                </c:pt>
                <c:pt idx="643">
                  <c:v>604.9</c:v>
                </c:pt>
                <c:pt idx="644">
                  <c:v>482.88</c:v>
                </c:pt>
                <c:pt idx="645">
                  <c:v>119.95</c:v>
                </c:pt>
                <c:pt idx="646">
                  <c:v>119.95</c:v>
                </c:pt>
                <c:pt idx="647">
                  <c:v>237.8</c:v>
                </c:pt>
                <c:pt idx="648">
                  <c:v>590.05000000000007</c:v>
                </c:pt>
                <c:pt idx="649">
                  <c:v>463.32</c:v>
                </c:pt>
                <c:pt idx="650">
                  <c:v>463.24</c:v>
                </c:pt>
                <c:pt idx="651">
                  <c:v>462.32</c:v>
                </c:pt>
                <c:pt idx="652">
                  <c:v>461.28</c:v>
                </c:pt>
                <c:pt idx="653">
                  <c:v>458.52</c:v>
                </c:pt>
                <c:pt idx="654">
                  <c:v>335.90999999999997</c:v>
                </c:pt>
                <c:pt idx="655">
                  <c:v>221.36</c:v>
                </c:pt>
                <c:pt idx="656">
                  <c:v>513.67999999999995</c:v>
                </c:pt>
                <c:pt idx="657">
                  <c:v>256.83999999999997</c:v>
                </c:pt>
                <c:pt idx="658">
                  <c:v>513.67999999999995</c:v>
                </c:pt>
                <c:pt idx="659">
                  <c:v>438.64</c:v>
                </c:pt>
                <c:pt idx="660">
                  <c:v>110.36</c:v>
                </c:pt>
                <c:pt idx="661">
                  <c:v>544.9</c:v>
                </c:pt>
                <c:pt idx="662">
                  <c:v>326.94</c:v>
                </c:pt>
                <c:pt idx="663">
                  <c:v>108.11</c:v>
                </c:pt>
                <c:pt idx="664">
                  <c:v>220.72</c:v>
                </c:pt>
                <c:pt idx="665">
                  <c:v>220.72</c:v>
                </c:pt>
                <c:pt idx="666">
                  <c:v>109.36</c:v>
                </c:pt>
                <c:pt idx="667">
                  <c:v>106.98</c:v>
                </c:pt>
                <c:pt idx="668">
                  <c:v>213.08</c:v>
                </c:pt>
                <c:pt idx="669">
                  <c:v>422.8</c:v>
                </c:pt>
                <c:pt idx="670">
                  <c:v>528.5</c:v>
                </c:pt>
                <c:pt idx="671">
                  <c:v>422.8</c:v>
                </c:pt>
                <c:pt idx="672">
                  <c:v>528.5</c:v>
                </c:pt>
                <c:pt idx="673">
                  <c:v>422.8</c:v>
                </c:pt>
                <c:pt idx="674">
                  <c:v>210.04</c:v>
                </c:pt>
                <c:pt idx="675">
                  <c:v>411.76</c:v>
                </c:pt>
                <c:pt idx="676">
                  <c:v>514.70000000000005</c:v>
                </c:pt>
                <c:pt idx="677">
                  <c:v>512.9</c:v>
                </c:pt>
                <c:pt idx="678">
                  <c:v>410.32</c:v>
                </c:pt>
                <c:pt idx="679">
                  <c:v>537.25</c:v>
                </c:pt>
                <c:pt idx="680">
                  <c:v>100.47</c:v>
                </c:pt>
                <c:pt idx="681">
                  <c:v>301.17</c:v>
                </c:pt>
                <c:pt idx="682">
                  <c:v>501.95</c:v>
                </c:pt>
                <c:pt idx="683">
                  <c:v>200.78</c:v>
                </c:pt>
                <c:pt idx="684">
                  <c:v>200.72</c:v>
                </c:pt>
                <c:pt idx="685">
                  <c:v>500.65</c:v>
                </c:pt>
                <c:pt idx="686">
                  <c:v>495.5</c:v>
                </c:pt>
                <c:pt idx="687">
                  <c:v>97.79</c:v>
                </c:pt>
                <c:pt idx="688">
                  <c:v>290.01</c:v>
                </c:pt>
                <c:pt idx="689">
                  <c:v>96.67</c:v>
                </c:pt>
                <c:pt idx="690">
                  <c:v>474.90000000000003</c:v>
                </c:pt>
                <c:pt idx="691">
                  <c:v>378.8</c:v>
                </c:pt>
                <c:pt idx="692">
                  <c:v>283.98</c:v>
                </c:pt>
                <c:pt idx="693">
                  <c:v>377.88</c:v>
                </c:pt>
                <c:pt idx="694">
                  <c:v>187.02</c:v>
                </c:pt>
                <c:pt idx="695">
                  <c:v>92.41</c:v>
                </c:pt>
                <c:pt idx="696">
                  <c:v>91.61</c:v>
                </c:pt>
                <c:pt idx="697">
                  <c:v>182.76</c:v>
                </c:pt>
                <c:pt idx="698">
                  <c:v>91.34</c:v>
                </c:pt>
                <c:pt idx="699">
                  <c:v>361.76</c:v>
                </c:pt>
                <c:pt idx="700">
                  <c:v>90.07</c:v>
                </c:pt>
                <c:pt idx="701">
                  <c:v>90.07</c:v>
                </c:pt>
                <c:pt idx="702">
                  <c:v>359.36</c:v>
                </c:pt>
                <c:pt idx="703">
                  <c:v>322.35000000000002</c:v>
                </c:pt>
                <c:pt idx="704">
                  <c:v>537.25</c:v>
                </c:pt>
                <c:pt idx="705">
                  <c:v>202.32</c:v>
                </c:pt>
                <c:pt idx="706">
                  <c:v>353.16</c:v>
                </c:pt>
                <c:pt idx="707">
                  <c:v>437.59999999999997</c:v>
                </c:pt>
                <c:pt idx="708">
                  <c:v>87.26</c:v>
                </c:pt>
                <c:pt idx="709">
                  <c:v>435</c:v>
                </c:pt>
                <c:pt idx="710">
                  <c:v>431.15000000000003</c:v>
                </c:pt>
                <c:pt idx="711">
                  <c:v>344.92</c:v>
                </c:pt>
                <c:pt idx="712">
                  <c:v>258.69</c:v>
                </c:pt>
                <c:pt idx="713">
                  <c:v>257.43</c:v>
                </c:pt>
                <c:pt idx="714">
                  <c:v>339.76</c:v>
                </c:pt>
                <c:pt idx="715">
                  <c:v>169.38</c:v>
                </c:pt>
                <c:pt idx="716">
                  <c:v>422.15000000000003</c:v>
                </c:pt>
                <c:pt idx="717">
                  <c:v>253.29000000000002</c:v>
                </c:pt>
                <c:pt idx="718">
                  <c:v>165.26</c:v>
                </c:pt>
                <c:pt idx="719">
                  <c:v>411.70000000000005</c:v>
                </c:pt>
                <c:pt idx="720">
                  <c:v>81.86</c:v>
                </c:pt>
                <c:pt idx="721">
                  <c:v>321.04000000000002</c:v>
                </c:pt>
                <c:pt idx="722">
                  <c:v>79.02</c:v>
                </c:pt>
                <c:pt idx="723">
                  <c:v>314.04000000000002</c:v>
                </c:pt>
                <c:pt idx="724">
                  <c:v>77.739999999999995</c:v>
                </c:pt>
                <c:pt idx="725">
                  <c:v>77.63</c:v>
                </c:pt>
                <c:pt idx="726">
                  <c:v>155.26</c:v>
                </c:pt>
                <c:pt idx="727">
                  <c:v>154.44</c:v>
                </c:pt>
                <c:pt idx="728">
                  <c:v>231.51</c:v>
                </c:pt>
                <c:pt idx="729">
                  <c:v>152.6</c:v>
                </c:pt>
                <c:pt idx="730">
                  <c:v>303.76</c:v>
                </c:pt>
                <c:pt idx="731">
                  <c:v>151.82</c:v>
                </c:pt>
                <c:pt idx="732">
                  <c:v>75.38</c:v>
                </c:pt>
                <c:pt idx="733">
                  <c:v>75.16</c:v>
                </c:pt>
                <c:pt idx="734">
                  <c:v>146.72</c:v>
                </c:pt>
                <c:pt idx="735">
                  <c:v>365.5</c:v>
                </c:pt>
                <c:pt idx="736">
                  <c:v>289.32</c:v>
                </c:pt>
                <c:pt idx="737">
                  <c:v>72.069999999999993</c:v>
                </c:pt>
                <c:pt idx="738">
                  <c:v>71.900000000000006</c:v>
                </c:pt>
                <c:pt idx="739">
                  <c:v>71.819999999999993</c:v>
                </c:pt>
                <c:pt idx="740">
                  <c:v>71.819999999999993</c:v>
                </c:pt>
                <c:pt idx="741">
                  <c:v>71.56</c:v>
                </c:pt>
                <c:pt idx="742">
                  <c:v>212.37</c:v>
                </c:pt>
                <c:pt idx="743">
                  <c:v>70.790000000000006</c:v>
                </c:pt>
                <c:pt idx="744">
                  <c:v>281.60000000000002</c:v>
                </c:pt>
                <c:pt idx="745">
                  <c:v>281.08</c:v>
                </c:pt>
                <c:pt idx="746">
                  <c:v>351.34999999999997</c:v>
                </c:pt>
                <c:pt idx="747">
                  <c:v>276.95999999999998</c:v>
                </c:pt>
                <c:pt idx="748">
                  <c:v>276.95999999999998</c:v>
                </c:pt>
                <c:pt idx="749">
                  <c:v>207.71999999999997</c:v>
                </c:pt>
                <c:pt idx="750">
                  <c:v>207.24</c:v>
                </c:pt>
                <c:pt idx="751">
                  <c:v>136.63999999999999</c:v>
                </c:pt>
                <c:pt idx="752">
                  <c:v>337.2</c:v>
                </c:pt>
                <c:pt idx="753">
                  <c:v>202.20000000000002</c:v>
                </c:pt>
                <c:pt idx="754">
                  <c:v>133.86000000000001</c:v>
                </c:pt>
                <c:pt idx="755">
                  <c:v>267.72000000000003</c:v>
                </c:pt>
                <c:pt idx="756">
                  <c:v>441.45000000000005</c:v>
                </c:pt>
                <c:pt idx="757">
                  <c:v>88.29</c:v>
                </c:pt>
                <c:pt idx="758">
                  <c:v>133.80000000000001</c:v>
                </c:pt>
                <c:pt idx="759">
                  <c:v>133.74</c:v>
                </c:pt>
                <c:pt idx="760">
                  <c:v>200.61</c:v>
                </c:pt>
                <c:pt idx="761">
                  <c:v>265.64</c:v>
                </c:pt>
                <c:pt idx="762">
                  <c:v>261.52</c:v>
                </c:pt>
                <c:pt idx="763">
                  <c:v>130.56</c:v>
                </c:pt>
                <c:pt idx="764">
                  <c:v>259.12</c:v>
                </c:pt>
                <c:pt idx="765">
                  <c:v>129.22</c:v>
                </c:pt>
                <c:pt idx="766">
                  <c:v>256.68</c:v>
                </c:pt>
                <c:pt idx="767">
                  <c:v>352.96</c:v>
                </c:pt>
                <c:pt idx="768">
                  <c:v>334.5</c:v>
                </c:pt>
                <c:pt idx="769">
                  <c:v>133.80000000000001</c:v>
                </c:pt>
                <c:pt idx="770">
                  <c:v>319.20000000000005</c:v>
                </c:pt>
                <c:pt idx="771">
                  <c:v>62.81</c:v>
                </c:pt>
                <c:pt idx="772">
                  <c:v>125.56</c:v>
                </c:pt>
                <c:pt idx="773">
                  <c:v>250.2</c:v>
                </c:pt>
                <c:pt idx="774">
                  <c:v>61.75</c:v>
                </c:pt>
                <c:pt idx="775">
                  <c:v>123.5</c:v>
                </c:pt>
                <c:pt idx="776">
                  <c:v>184.95</c:v>
                </c:pt>
                <c:pt idx="777">
                  <c:v>184.95</c:v>
                </c:pt>
                <c:pt idx="778">
                  <c:v>123.3</c:v>
                </c:pt>
                <c:pt idx="779">
                  <c:v>308.25</c:v>
                </c:pt>
                <c:pt idx="780">
                  <c:v>123.3</c:v>
                </c:pt>
                <c:pt idx="781">
                  <c:v>246.6</c:v>
                </c:pt>
                <c:pt idx="782">
                  <c:v>246.6</c:v>
                </c:pt>
                <c:pt idx="783">
                  <c:v>308.25</c:v>
                </c:pt>
                <c:pt idx="784">
                  <c:v>244.04</c:v>
                </c:pt>
                <c:pt idx="785">
                  <c:v>59.72</c:v>
                </c:pt>
                <c:pt idx="786">
                  <c:v>295.89999999999998</c:v>
                </c:pt>
                <c:pt idx="787">
                  <c:v>59.13</c:v>
                </c:pt>
                <c:pt idx="788">
                  <c:v>231.68</c:v>
                </c:pt>
                <c:pt idx="789">
                  <c:v>173.76</c:v>
                </c:pt>
                <c:pt idx="790">
                  <c:v>283.15000000000003</c:v>
                </c:pt>
                <c:pt idx="791">
                  <c:v>226.4</c:v>
                </c:pt>
                <c:pt idx="792">
                  <c:v>283</c:v>
                </c:pt>
                <c:pt idx="793">
                  <c:v>225.48</c:v>
                </c:pt>
                <c:pt idx="794">
                  <c:v>169.05</c:v>
                </c:pt>
                <c:pt idx="795">
                  <c:v>112.58</c:v>
                </c:pt>
                <c:pt idx="796">
                  <c:v>223.44</c:v>
                </c:pt>
                <c:pt idx="797">
                  <c:v>223.44</c:v>
                </c:pt>
                <c:pt idx="798">
                  <c:v>166.02</c:v>
                </c:pt>
                <c:pt idx="799">
                  <c:v>54.83</c:v>
                </c:pt>
                <c:pt idx="800">
                  <c:v>162.75</c:v>
                </c:pt>
                <c:pt idx="801">
                  <c:v>270.3</c:v>
                </c:pt>
                <c:pt idx="802">
                  <c:v>53.8</c:v>
                </c:pt>
                <c:pt idx="803">
                  <c:v>52.92</c:v>
                </c:pt>
                <c:pt idx="804">
                  <c:v>263.85000000000002</c:v>
                </c:pt>
                <c:pt idx="805">
                  <c:v>156.69</c:v>
                </c:pt>
                <c:pt idx="806">
                  <c:v>52.2</c:v>
                </c:pt>
                <c:pt idx="807">
                  <c:v>257.39999999999998</c:v>
                </c:pt>
                <c:pt idx="808">
                  <c:v>51.22</c:v>
                </c:pt>
                <c:pt idx="809">
                  <c:v>153.66</c:v>
                </c:pt>
                <c:pt idx="810">
                  <c:v>100.9</c:v>
                </c:pt>
                <c:pt idx="811">
                  <c:v>99.88</c:v>
                </c:pt>
                <c:pt idx="812">
                  <c:v>99.64</c:v>
                </c:pt>
                <c:pt idx="813">
                  <c:v>49.68</c:v>
                </c:pt>
                <c:pt idx="814">
                  <c:v>146.64000000000001</c:v>
                </c:pt>
                <c:pt idx="815">
                  <c:v>194.48</c:v>
                </c:pt>
                <c:pt idx="816">
                  <c:v>241.85</c:v>
                </c:pt>
                <c:pt idx="817">
                  <c:v>145.02000000000001</c:v>
                </c:pt>
                <c:pt idx="818">
                  <c:v>142.85999999999999</c:v>
                </c:pt>
                <c:pt idx="819">
                  <c:v>189.44</c:v>
                </c:pt>
                <c:pt idx="820">
                  <c:v>138.99</c:v>
                </c:pt>
                <c:pt idx="821">
                  <c:v>46.31</c:v>
                </c:pt>
                <c:pt idx="822">
                  <c:v>185.24</c:v>
                </c:pt>
                <c:pt idx="823">
                  <c:v>45.84</c:v>
                </c:pt>
                <c:pt idx="824">
                  <c:v>45.82</c:v>
                </c:pt>
                <c:pt idx="825">
                  <c:v>183.28</c:v>
                </c:pt>
                <c:pt idx="826">
                  <c:v>183.28</c:v>
                </c:pt>
                <c:pt idx="827">
                  <c:v>45.52</c:v>
                </c:pt>
                <c:pt idx="828">
                  <c:v>135.14999999999998</c:v>
                </c:pt>
                <c:pt idx="829">
                  <c:v>135.14999999999998</c:v>
                </c:pt>
                <c:pt idx="830">
                  <c:v>219.89999999999998</c:v>
                </c:pt>
                <c:pt idx="831">
                  <c:v>218.79999999999998</c:v>
                </c:pt>
                <c:pt idx="832">
                  <c:v>43.73</c:v>
                </c:pt>
                <c:pt idx="833">
                  <c:v>43.73</c:v>
                </c:pt>
                <c:pt idx="834">
                  <c:v>131.19</c:v>
                </c:pt>
                <c:pt idx="835">
                  <c:v>217.5</c:v>
                </c:pt>
                <c:pt idx="836">
                  <c:v>64.02</c:v>
                </c:pt>
                <c:pt idx="837">
                  <c:v>216.20000000000002</c:v>
                </c:pt>
                <c:pt idx="838">
                  <c:v>85.98</c:v>
                </c:pt>
                <c:pt idx="839">
                  <c:v>128.97</c:v>
                </c:pt>
                <c:pt idx="840">
                  <c:v>128.97</c:v>
                </c:pt>
                <c:pt idx="841">
                  <c:v>127.41</c:v>
                </c:pt>
                <c:pt idx="842">
                  <c:v>169.88</c:v>
                </c:pt>
                <c:pt idx="843">
                  <c:v>84.94</c:v>
                </c:pt>
                <c:pt idx="844">
                  <c:v>169.88</c:v>
                </c:pt>
                <c:pt idx="845">
                  <c:v>41.96</c:v>
                </c:pt>
                <c:pt idx="846">
                  <c:v>165.76</c:v>
                </c:pt>
                <c:pt idx="847">
                  <c:v>164.76</c:v>
                </c:pt>
                <c:pt idx="848">
                  <c:v>123.57</c:v>
                </c:pt>
                <c:pt idx="849">
                  <c:v>205.95</c:v>
                </c:pt>
                <c:pt idx="850">
                  <c:v>41.18</c:v>
                </c:pt>
                <c:pt idx="851">
                  <c:v>82.32</c:v>
                </c:pt>
                <c:pt idx="852">
                  <c:v>82.22</c:v>
                </c:pt>
                <c:pt idx="853">
                  <c:v>122.78999999999999</c:v>
                </c:pt>
                <c:pt idx="854">
                  <c:v>163.72</c:v>
                </c:pt>
                <c:pt idx="855">
                  <c:v>122.78999999999999</c:v>
                </c:pt>
                <c:pt idx="856">
                  <c:v>81.86</c:v>
                </c:pt>
                <c:pt idx="857">
                  <c:v>204.5</c:v>
                </c:pt>
                <c:pt idx="858">
                  <c:v>200.79999999999998</c:v>
                </c:pt>
                <c:pt idx="859">
                  <c:v>120.27000000000001</c:v>
                </c:pt>
                <c:pt idx="860">
                  <c:v>120.27000000000001</c:v>
                </c:pt>
                <c:pt idx="861">
                  <c:v>160.36000000000001</c:v>
                </c:pt>
                <c:pt idx="862">
                  <c:v>159.6</c:v>
                </c:pt>
                <c:pt idx="863">
                  <c:v>78.760000000000005</c:v>
                </c:pt>
                <c:pt idx="864">
                  <c:v>118.14000000000001</c:v>
                </c:pt>
                <c:pt idx="865">
                  <c:v>78.760000000000005</c:v>
                </c:pt>
                <c:pt idx="866">
                  <c:v>118.14000000000001</c:v>
                </c:pt>
                <c:pt idx="867">
                  <c:v>39.380000000000003</c:v>
                </c:pt>
                <c:pt idx="868">
                  <c:v>196.9</c:v>
                </c:pt>
                <c:pt idx="869">
                  <c:v>196.8</c:v>
                </c:pt>
                <c:pt idx="870">
                  <c:v>157.19999999999999</c:v>
                </c:pt>
                <c:pt idx="871">
                  <c:v>196.25</c:v>
                </c:pt>
                <c:pt idx="872">
                  <c:v>194.35</c:v>
                </c:pt>
                <c:pt idx="873">
                  <c:v>115.77000000000001</c:v>
                </c:pt>
                <c:pt idx="874">
                  <c:v>191.75</c:v>
                </c:pt>
                <c:pt idx="875">
                  <c:v>153.4</c:v>
                </c:pt>
                <c:pt idx="876">
                  <c:v>76.7</c:v>
                </c:pt>
                <c:pt idx="877">
                  <c:v>76.7</c:v>
                </c:pt>
                <c:pt idx="878">
                  <c:v>191.75</c:v>
                </c:pt>
                <c:pt idx="879">
                  <c:v>114.84</c:v>
                </c:pt>
                <c:pt idx="880">
                  <c:v>152.76</c:v>
                </c:pt>
                <c:pt idx="881">
                  <c:v>114.30000000000001</c:v>
                </c:pt>
                <c:pt idx="882">
                  <c:v>148.28</c:v>
                </c:pt>
                <c:pt idx="883">
                  <c:v>73.62</c:v>
                </c:pt>
                <c:pt idx="884">
                  <c:v>145.16</c:v>
                </c:pt>
                <c:pt idx="885">
                  <c:v>72.14</c:v>
                </c:pt>
                <c:pt idx="886">
                  <c:v>180.04999999999998</c:v>
                </c:pt>
                <c:pt idx="887">
                  <c:v>35.78</c:v>
                </c:pt>
                <c:pt idx="888">
                  <c:v>141.04</c:v>
                </c:pt>
                <c:pt idx="889">
                  <c:v>70.48</c:v>
                </c:pt>
                <c:pt idx="890">
                  <c:v>104.88</c:v>
                </c:pt>
                <c:pt idx="891">
                  <c:v>139</c:v>
                </c:pt>
                <c:pt idx="892">
                  <c:v>173.75</c:v>
                </c:pt>
                <c:pt idx="893">
                  <c:v>69.5</c:v>
                </c:pt>
                <c:pt idx="894">
                  <c:v>69.5</c:v>
                </c:pt>
                <c:pt idx="895">
                  <c:v>69.5</c:v>
                </c:pt>
                <c:pt idx="896">
                  <c:v>139</c:v>
                </c:pt>
                <c:pt idx="897">
                  <c:v>100.32</c:v>
                </c:pt>
                <c:pt idx="898">
                  <c:v>66.42</c:v>
                </c:pt>
                <c:pt idx="899">
                  <c:v>164.35</c:v>
                </c:pt>
                <c:pt idx="900">
                  <c:v>65.38</c:v>
                </c:pt>
                <c:pt idx="901">
                  <c:v>65.38</c:v>
                </c:pt>
                <c:pt idx="902">
                  <c:v>130</c:v>
                </c:pt>
                <c:pt idx="903">
                  <c:v>160.9</c:v>
                </c:pt>
                <c:pt idx="904">
                  <c:v>96.51</c:v>
                </c:pt>
                <c:pt idx="905">
                  <c:v>95.76</c:v>
                </c:pt>
                <c:pt idx="906">
                  <c:v>63.82</c:v>
                </c:pt>
                <c:pt idx="907">
                  <c:v>154.44999999999999</c:v>
                </c:pt>
                <c:pt idx="908">
                  <c:v>192.06</c:v>
                </c:pt>
                <c:pt idx="909">
                  <c:v>64.02</c:v>
                </c:pt>
                <c:pt idx="910">
                  <c:v>30.76</c:v>
                </c:pt>
                <c:pt idx="911">
                  <c:v>151.85</c:v>
                </c:pt>
                <c:pt idx="912">
                  <c:v>151.80000000000001</c:v>
                </c:pt>
                <c:pt idx="913">
                  <c:v>151.69999999999999</c:v>
                </c:pt>
                <c:pt idx="914">
                  <c:v>217.15</c:v>
                </c:pt>
                <c:pt idx="915">
                  <c:v>29.6</c:v>
                </c:pt>
                <c:pt idx="916">
                  <c:v>147.89999999999998</c:v>
                </c:pt>
                <c:pt idx="917">
                  <c:v>88.74</c:v>
                </c:pt>
                <c:pt idx="918">
                  <c:v>59.16</c:v>
                </c:pt>
                <c:pt idx="919">
                  <c:v>118.32</c:v>
                </c:pt>
                <c:pt idx="920">
                  <c:v>147.89999999999998</c:v>
                </c:pt>
                <c:pt idx="921">
                  <c:v>88.74</c:v>
                </c:pt>
                <c:pt idx="922">
                  <c:v>88.74</c:v>
                </c:pt>
                <c:pt idx="923">
                  <c:v>147.89999999999998</c:v>
                </c:pt>
                <c:pt idx="924">
                  <c:v>118.32</c:v>
                </c:pt>
                <c:pt idx="925">
                  <c:v>29.58</c:v>
                </c:pt>
                <c:pt idx="926">
                  <c:v>145.80000000000001</c:v>
                </c:pt>
                <c:pt idx="927">
                  <c:v>28.29</c:v>
                </c:pt>
                <c:pt idx="928">
                  <c:v>113.16</c:v>
                </c:pt>
                <c:pt idx="929">
                  <c:v>28.29</c:v>
                </c:pt>
                <c:pt idx="930">
                  <c:v>140</c:v>
                </c:pt>
                <c:pt idx="931">
                  <c:v>102.84</c:v>
                </c:pt>
                <c:pt idx="932">
                  <c:v>25.71</c:v>
                </c:pt>
                <c:pt idx="933">
                  <c:v>128.55000000000001</c:v>
                </c:pt>
                <c:pt idx="934">
                  <c:v>77.13</c:v>
                </c:pt>
                <c:pt idx="935">
                  <c:v>25.71</c:v>
                </c:pt>
                <c:pt idx="936">
                  <c:v>25.56</c:v>
                </c:pt>
                <c:pt idx="937">
                  <c:v>76.44</c:v>
                </c:pt>
                <c:pt idx="938">
                  <c:v>25.48</c:v>
                </c:pt>
                <c:pt idx="939">
                  <c:v>73.89</c:v>
                </c:pt>
                <c:pt idx="940">
                  <c:v>48.86</c:v>
                </c:pt>
                <c:pt idx="941">
                  <c:v>115.60000000000001</c:v>
                </c:pt>
                <c:pt idx="942">
                  <c:v>115.25</c:v>
                </c:pt>
                <c:pt idx="943">
                  <c:v>114.55</c:v>
                </c:pt>
                <c:pt idx="944">
                  <c:v>68.73</c:v>
                </c:pt>
                <c:pt idx="945">
                  <c:v>119.44</c:v>
                </c:pt>
                <c:pt idx="946">
                  <c:v>68.400000000000006</c:v>
                </c:pt>
                <c:pt idx="947">
                  <c:v>45.6</c:v>
                </c:pt>
                <c:pt idx="948">
                  <c:v>45.6</c:v>
                </c:pt>
                <c:pt idx="949">
                  <c:v>22.8</c:v>
                </c:pt>
                <c:pt idx="950">
                  <c:v>91.2</c:v>
                </c:pt>
                <c:pt idx="951">
                  <c:v>91.2</c:v>
                </c:pt>
                <c:pt idx="952">
                  <c:v>22.8</c:v>
                </c:pt>
                <c:pt idx="953">
                  <c:v>68.400000000000006</c:v>
                </c:pt>
                <c:pt idx="954">
                  <c:v>22.8</c:v>
                </c:pt>
                <c:pt idx="955">
                  <c:v>111</c:v>
                </c:pt>
                <c:pt idx="956">
                  <c:v>21.85</c:v>
                </c:pt>
                <c:pt idx="957">
                  <c:v>108</c:v>
                </c:pt>
                <c:pt idx="958">
                  <c:v>20.57</c:v>
                </c:pt>
                <c:pt idx="959">
                  <c:v>82.28</c:v>
                </c:pt>
                <c:pt idx="960">
                  <c:v>40.68</c:v>
                </c:pt>
                <c:pt idx="961">
                  <c:v>20.05</c:v>
                </c:pt>
                <c:pt idx="962">
                  <c:v>75.48</c:v>
                </c:pt>
                <c:pt idx="963">
                  <c:v>92.65</c:v>
                </c:pt>
                <c:pt idx="964">
                  <c:v>69</c:v>
                </c:pt>
                <c:pt idx="965">
                  <c:v>34.299999999999997</c:v>
                </c:pt>
                <c:pt idx="966">
                  <c:v>83.65</c:v>
                </c:pt>
                <c:pt idx="967">
                  <c:v>49.230000000000004</c:v>
                </c:pt>
                <c:pt idx="968">
                  <c:v>49.050000000000004</c:v>
                </c:pt>
                <c:pt idx="969">
                  <c:v>46.26</c:v>
                </c:pt>
                <c:pt idx="970">
                  <c:v>28.78</c:v>
                </c:pt>
                <c:pt idx="971">
                  <c:v>66.5</c:v>
                </c:pt>
                <c:pt idx="972">
                  <c:v>38.61</c:v>
                </c:pt>
                <c:pt idx="973">
                  <c:v>64.2</c:v>
                </c:pt>
                <c:pt idx="974">
                  <c:v>63.7</c:v>
                </c:pt>
                <c:pt idx="975">
                  <c:v>62.35</c:v>
                </c:pt>
                <c:pt idx="976">
                  <c:v>62.35</c:v>
                </c:pt>
                <c:pt idx="977">
                  <c:v>57.800000000000004</c:v>
                </c:pt>
                <c:pt idx="978">
                  <c:v>55.099999999999994</c:v>
                </c:pt>
                <c:pt idx="979">
                  <c:v>10.81</c:v>
                </c:pt>
                <c:pt idx="980">
                  <c:v>41.24</c:v>
                </c:pt>
                <c:pt idx="981">
                  <c:v>27.81</c:v>
                </c:pt>
                <c:pt idx="982">
                  <c:v>9.24</c:v>
                </c:pt>
                <c:pt idx="983">
                  <c:v>18.46</c:v>
                </c:pt>
                <c:pt idx="984">
                  <c:v>42.45</c:v>
                </c:pt>
                <c:pt idx="985">
                  <c:v>23.25</c:v>
                </c:pt>
                <c:pt idx="986">
                  <c:v>7.72</c:v>
                </c:pt>
                <c:pt idx="987">
                  <c:v>7.72</c:v>
                </c:pt>
                <c:pt idx="988">
                  <c:v>15.4</c:v>
                </c:pt>
                <c:pt idx="989">
                  <c:v>23.1</c:v>
                </c:pt>
                <c:pt idx="990">
                  <c:v>30.8</c:v>
                </c:pt>
                <c:pt idx="991">
                  <c:v>16.36</c:v>
                </c:pt>
                <c:pt idx="992">
                  <c:v>11.52</c:v>
                </c:pt>
              </c:numCache>
            </c:numRef>
          </c:xVal>
          <c:yVal>
            <c:numRef>
              <c:f>Forecasting!$E$2:$E$994</c:f>
              <c:numCache>
                <c:formatCode>0.00</c:formatCode>
                <c:ptCount val="993"/>
                <c:pt idx="0">
                  <c:v>8046.5199999999904</c:v>
                </c:pt>
                <c:pt idx="1">
                  <c:v>9303.4499999999898</c:v>
                </c:pt>
                <c:pt idx="2">
                  <c:v>4996.0799999999945</c:v>
                </c:pt>
                <c:pt idx="3">
                  <c:v>1665.3599999999988</c:v>
                </c:pt>
                <c:pt idx="4">
                  <c:v>8326.7999999999902</c:v>
                </c:pt>
                <c:pt idx="5">
                  <c:v>1665.3599999999988</c:v>
                </c:pt>
                <c:pt idx="6">
                  <c:v>6661.4399999999914</c:v>
                </c:pt>
                <c:pt idx="7">
                  <c:v>7917.3999999999896</c:v>
                </c:pt>
                <c:pt idx="8">
                  <c:v>4750.4399999999951</c:v>
                </c:pt>
                <c:pt idx="9">
                  <c:v>7745.3499999999904</c:v>
                </c:pt>
                <c:pt idx="10">
                  <c:v>7277.8499999999904</c:v>
                </c:pt>
                <c:pt idx="11">
                  <c:v>3055.3599999999974</c:v>
                </c:pt>
                <c:pt idx="12">
                  <c:v>5822.2799999999925</c:v>
                </c:pt>
                <c:pt idx="13">
                  <c:v>1348.6099999999992</c:v>
                </c:pt>
                <c:pt idx="14">
                  <c:v>1348.6099999999992</c:v>
                </c:pt>
                <c:pt idx="15">
                  <c:v>6743.0499999999911</c:v>
                </c:pt>
                <c:pt idx="16">
                  <c:v>2697.2199999999975</c:v>
                </c:pt>
                <c:pt idx="17">
                  <c:v>5394.4399999999932</c:v>
                </c:pt>
                <c:pt idx="18">
                  <c:v>6743.0499999999911</c:v>
                </c:pt>
                <c:pt idx="19">
                  <c:v>2697.2199999999975</c:v>
                </c:pt>
                <c:pt idx="20">
                  <c:v>5394.4399999999932</c:v>
                </c:pt>
                <c:pt idx="21">
                  <c:v>6743.0499999999911</c:v>
                </c:pt>
                <c:pt idx="22">
                  <c:v>6743.0499999999911</c:v>
                </c:pt>
                <c:pt idx="23">
                  <c:v>5394.4399999999932</c:v>
                </c:pt>
                <c:pt idx="24">
                  <c:v>5394.4399999999932</c:v>
                </c:pt>
                <c:pt idx="25">
                  <c:v>5348.9199999999937</c:v>
                </c:pt>
                <c:pt idx="26">
                  <c:v>6686.1499999999915</c:v>
                </c:pt>
                <c:pt idx="27">
                  <c:v>4729.4799999999941</c:v>
                </c:pt>
                <c:pt idx="28">
                  <c:v>2563.9199999999978</c:v>
                </c:pt>
                <c:pt idx="29">
                  <c:v>5532.9499999999935</c:v>
                </c:pt>
                <c:pt idx="30">
                  <c:v>2294.5199999999982</c:v>
                </c:pt>
                <c:pt idx="31">
                  <c:v>2055.1799999999985</c:v>
                </c:pt>
                <c:pt idx="32">
                  <c:v>4109.7599999999957</c:v>
                </c:pt>
                <c:pt idx="33">
                  <c:v>4055.439999999996</c:v>
                </c:pt>
                <c:pt idx="34">
                  <c:v>3041.5799999999972</c:v>
                </c:pt>
                <c:pt idx="35">
                  <c:v>4055.439999999996</c:v>
                </c:pt>
                <c:pt idx="36">
                  <c:v>4055.439999999996</c:v>
                </c:pt>
                <c:pt idx="37">
                  <c:v>3041.5799999999972</c:v>
                </c:pt>
                <c:pt idx="38">
                  <c:v>3010.8899999999971</c:v>
                </c:pt>
                <c:pt idx="39">
                  <c:v>3909.1999999999962</c:v>
                </c:pt>
                <c:pt idx="40">
                  <c:v>4886.4999999999945</c:v>
                </c:pt>
                <c:pt idx="41">
                  <c:v>2931.8999999999969</c:v>
                </c:pt>
                <c:pt idx="42">
                  <c:v>3921.8399999999965</c:v>
                </c:pt>
                <c:pt idx="43">
                  <c:v>977.89</c:v>
                </c:pt>
                <c:pt idx="44">
                  <c:v>4884.0999999999949</c:v>
                </c:pt>
                <c:pt idx="45">
                  <c:v>973.41</c:v>
                </c:pt>
                <c:pt idx="46">
                  <c:v>973.41</c:v>
                </c:pt>
                <c:pt idx="47">
                  <c:v>4747.3499999999949</c:v>
                </c:pt>
                <c:pt idx="48">
                  <c:v>949.47</c:v>
                </c:pt>
                <c:pt idx="49">
                  <c:v>2848.4099999999976</c:v>
                </c:pt>
                <c:pt idx="50">
                  <c:v>2856.4499999999975</c:v>
                </c:pt>
                <c:pt idx="51">
                  <c:v>1898.9399999999987</c:v>
                </c:pt>
                <c:pt idx="52">
                  <c:v>3797.8799999999965</c:v>
                </c:pt>
                <c:pt idx="53">
                  <c:v>4747.3499999999949</c:v>
                </c:pt>
                <c:pt idx="54">
                  <c:v>1898.9399999999987</c:v>
                </c:pt>
                <c:pt idx="55">
                  <c:v>949.47</c:v>
                </c:pt>
                <c:pt idx="56">
                  <c:v>1898.9399999999987</c:v>
                </c:pt>
                <c:pt idx="57">
                  <c:v>3797.8799999999965</c:v>
                </c:pt>
                <c:pt idx="58">
                  <c:v>2848.4099999999976</c:v>
                </c:pt>
                <c:pt idx="59">
                  <c:v>2848.4099999999976</c:v>
                </c:pt>
                <c:pt idx="60">
                  <c:v>4747.3499999999949</c:v>
                </c:pt>
                <c:pt idx="61">
                  <c:v>2848.4099999999976</c:v>
                </c:pt>
                <c:pt idx="62">
                  <c:v>949.47</c:v>
                </c:pt>
                <c:pt idx="63">
                  <c:v>4747.3499999999949</c:v>
                </c:pt>
                <c:pt idx="64">
                  <c:v>4747.3499999999949</c:v>
                </c:pt>
                <c:pt idx="65">
                  <c:v>4747.3499999999949</c:v>
                </c:pt>
                <c:pt idx="66">
                  <c:v>3797.8799999999965</c:v>
                </c:pt>
                <c:pt idx="67">
                  <c:v>4747.3499999999949</c:v>
                </c:pt>
                <c:pt idx="68">
                  <c:v>3797.8799999999965</c:v>
                </c:pt>
                <c:pt idx="69">
                  <c:v>2848.4099999999976</c:v>
                </c:pt>
                <c:pt idx="70">
                  <c:v>4747.3499999999949</c:v>
                </c:pt>
                <c:pt idx="71">
                  <c:v>3797.8799999999965</c:v>
                </c:pt>
                <c:pt idx="72">
                  <c:v>949.47</c:v>
                </c:pt>
                <c:pt idx="73">
                  <c:v>2848.4099999999976</c:v>
                </c:pt>
                <c:pt idx="74">
                  <c:v>3797.8799999999965</c:v>
                </c:pt>
                <c:pt idx="75">
                  <c:v>2848.4099999999976</c:v>
                </c:pt>
                <c:pt idx="76">
                  <c:v>2785.1399999999976</c:v>
                </c:pt>
                <c:pt idx="77">
                  <c:v>4640.8999999999942</c:v>
                </c:pt>
                <c:pt idx="78">
                  <c:v>2784.5399999999977</c:v>
                </c:pt>
                <c:pt idx="79">
                  <c:v>4640.8999999999942</c:v>
                </c:pt>
                <c:pt idx="80">
                  <c:v>4115.7999999999956</c:v>
                </c:pt>
                <c:pt idx="81">
                  <c:v>2328.2399999999984</c:v>
                </c:pt>
                <c:pt idx="82">
                  <c:v>2998.6799999999971</c:v>
                </c:pt>
                <c:pt idx="83">
                  <c:v>2249.0099999999979</c:v>
                </c:pt>
                <c:pt idx="84">
                  <c:v>1499.3399999999992</c:v>
                </c:pt>
                <c:pt idx="85">
                  <c:v>3660.3499999999967</c:v>
                </c:pt>
                <c:pt idx="86">
                  <c:v>2664.0899999999979</c:v>
                </c:pt>
                <c:pt idx="87">
                  <c:v>4374.6499999999951</c:v>
                </c:pt>
                <c:pt idx="88">
                  <c:v>2196.2099999999987</c:v>
                </c:pt>
                <c:pt idx="89">
                  <c:v>3272.759999999997</c:v>
                </c:pt>
                <c:pt idx="90">
                  <c:v>2928.2799999999975</c:v>
                </c:pt>
                <c:pt idx="91">
                  <c:v>1544.3799999999992</c:v>
                </c:pt>
                <c:pt idx="92">
                  <c:v>3859.7999999999965</c:v>
                </c:pt>
                <c:pt idx="93">
                  <c:v>2196.2099999999987</c:v>
                </c:pt>
                <c:pt idx="94">
                  <c:v>757.70000000000027</c:v>
                </c:pt>
                <c:pt idx="95">
                  <c:v>1502.5399999999991</c:v>
                </c:pt>
                <c:pt idx="96">
                  <c:v>1502.5399999999991</c:v>
                </c:pt>
                <c:pt idx="97">
                  <c:v>2167.1999999999985</c:v>
                </c:pt>
                <c:pt idx="98">
                  <c:v>1444.7999999999993</c:v>
                </c:pt>
                <c:pt idx="99">
                  <c:v>2889.5999999999976</c:v>
                </c:pt>
                <c:pt idx="100">
                  <c:v>1444.7999999999993</c:v>
                </c:pt>
                <c:pt idx="101">
                  <c:v>2167.1999999999985</c:v>
                </c:pt>
                <c:pt idx="102">
                  <c:v>2889.5999999999976</c:v>
                </c:pt>
                <c:pt idx="103">
                  <c:v>3611.9999999999964</c:v>
                </c:pt>
                <c:pt idx="104">
                  <c:v>722.40000000000032</c:v>
                </c:pt>
                <c:pt idx="105">
                  <c:v>2889.5999999999976</c:v>
                </c:pt>
                <c:pt idx="106">
                  <c:v>2167.1999999999985</c:v>
                </c:pt>
                <c:pt idx="107">
                  <c:v>3611.9999999999964</c:v>
                </c:pt>
                <c:pt idx="108">
                  <c:v>722.40000000000032</c:v>
                </c:pt>
                <c:pt idx="109">
                  <c:v>1444.7999999999993</c:v>
                </c:pt>
                <c:pt idx="110">
                  <c:v>722.40000000000032</c:v>
                </c:pt>
                <c:pt idx="111">
                  <c:v>2889.5999999999976</c:v>
                </c:pt>
                <c:pt idx="112">
                  <c:v>2889.5999999999976</c:v>
                </c:pt>
                <c:pt idx="113">
                  <c:v>722.40000000000032</c:v>
                </c:pt>
                <c:pt idx="114">
                  <c:v>3611.9999999999964</c:v>
                </c:pt>
                <c:pt idx="115">
                  <c:v>1182.4999999999995</c:v>
                </c:pt>
                <c:pt idx="116">
                  <c:v>2364.9999999999982</c:v>
                </c:pt>
                <c:pt idx="117">
                  <c:v>2889.4499999999975</c:v>
                </c:pt>
                <c:pt idx="118">
                  <c:v>577.89000000000044</c:v>
                </c:pt>
                <c:pt idx="119">
                  <c:v>2889.4499999999975</c:v>
                </c:pt>
                <c:pt idx="120">
                  <c:v>577.89000000000044</c:v>
                </c:pt>
                <c:pt idx="121">
                  <c:v>1155.7799999999997</c:v>
                </c:pt>
                <c:pt idx="122">
                  <c:v>2311.5599999999981</c:v>
                </c:pt>
                <c:pt idx="123">
                  <c:v>566.04000000000042</c:v>
                </c:pt>
                <c:pt idx="124">
                  <c:v>2662.8499999999981</c:v>
                </c:pt>
                <c:pt idx="125">
                  <c:v>2839.7199999999975</c:v>
                </c:pt>
                <c:pt idx="126">
                  <c:v>1419.8599999999992</c:v>
                </c:pt>
                <c:pt idx="127">
                  <c:v>3548.3499999999967</c:v>
                </c:pt>
                <c:pt idx="128">
                  <c:v>3410.4499999999971</c:v>
                </c:pt>
                <c:pt idx="129">
                  <c:v>1597.7099999999991</c:v>
                </c:pt>
                <c:pt idx="130">
                  <c:v>642.23000000000036</c:v>
                </c:pt>
                <c:pt idx="131">
                  <c:v>2656.2999999999979</c:v>
                </c:pt>
                <c:pt idx="132">
                  <c:v>1593.7799999999993</c:v>
                </c:pt>
                <c:pt idx="133">
                  <c:v>1593.7799999999993</c:v>
                </c:pt>
                <c:pt idx="134">
                  <c:v>2125.0399999999986</c:v>
                </c:pt>
                <c:pt idx="135">
                  <c:v>1863.639999999999</c:v>
                </c:pt>
                <c:pt idx="136">
                  <c:v>1863.639999999999</c:v>
                </c:pt>
                <c:pt idx="137">
                  <c:v>458.2800000000006</c:v>
                </c:pt>
                <c:pt idx="138">
                  <c:v>1374.8399999999992</c:v>
                </c:pt>
                <c:pt idx="139">
                  <c:v>1833.1199999999985</c:v>
                </c:pt>
                <c:pt idx="140">
                  <c:v>1833.1199999999985</c:v>
                </c:pt>
                <c:pt idx="141">
                  <c:v>1152.1599999999999</c:v>
                </c:pt>
                <c:pt idx="142">
                  <c:v>1698.8999999999987</c:v>
                </c:pt>
                <c:pt idx="143">
                  <c:v>1833.1199999999985</c:v>
                </c:pt>
                <c:pt idx="144">
                  <c:v>2702.5499999999979</c:v>
                </c:pt>
                <c:pt idx="145">
                  <c:v>916.56</c:v>
                </c:pt>
                <c:pt idx="146">
                  <c:v>916.56</c:v>
                </c:pt>
                <c:pt idx="147">
                  <c:v>1833.1199999999985</c:v>
                </c:pt>
                <c:pt idx="148">
                  <c:v>1833.1199999999985</c:v>
                </c:pt>
                <c:pt idx="149">
                  <c:v>458.2800000000006</c:v>
                </c:pt>
                <c:pt idx="150">
                  <c:v>1833.1199999999985</c:v>
                </c:pt>
                <c:pt idx="151">
                  <c:v>2100.3199999999988</c:v>
                </c:pt>
                <c:pt idx="152">
                  <c:v>1041.1399999999999</c:v>
                </c:pt>
                <c:pt idx="153">
                  <c:v>2573.9499999999975</c:v>
                </c:pt>
                <c:pt idx="154">
                  <c:v>1029.58</c:v>
                </c:pt>
                <c:pt idx="155">
                  <c:v>2559.7999999999979</c:v>
                </c:pt>
                <c:pt idx="156">
                  <c:v>1530.5399999999991</c:v>
                </c:pt>
                <c:pt idx="157">
                  <c:v>2291.3999999999978</c:v>
                </c:pt>
                <c:pt idx="158">
                  <c:v>1374.8399999999992</c:v>
                </c:pt>
                <c:pt idx="159">
                  <c:v>1833.1199999999985</c:v>
                </c:pt>
                <c:pt idx="160">
                  <c:v>458.2800000000006</c:v>
                </c:pt>
                <c:pt idx="161">
                  <c:v>458.2800000000006</c:v>
                </c:pt>
                <c:pt idx="162">
                  <c:v>2291.3999999999978</c:v>
                </c:pt>
                <c:pt idx="163">
                  <c:v>916.56</c:v>
                </c:pt>
                <c:pt idx="164">
                  <c:v>2285.6499999999983</c:v>
                </c:pt>
                <c:pt idx="165">
                  <c:v>1359.4799999999996</c:v>
                </c:pt>
                <c:pt idx="166">
                  <c:v>447.6000000000007</c:v>
                </c:pt>
                <c:pt idx="167">
                  <c:v>437.31000000000068</c:v>
                </c:pt>
                <c:pt idx="168">
                  <c:v>2057.6999999999989</c:v>
                </c:pt>
                <c:pt idx="169">
                  <c:v>716.62000000000035</c:v>
                </c:pt>
                <c:pt idx="170">
                  <c:v>1433.2399999999993</c:v>
                </c:pt>
                <c:pt idx="171">
                  <c:v>2316.5499999999984</c:v>
                </c:pt>
                <c:pt idx="172">
                  <c:v>2316.5499999999984</c:v>
                </c:pt>
                <c:pt idx="173">
                  <c:v>463.2800000000006</c:v>
                </c:pt>
                <c:pt idx="174">
                  <c:v>1853.1199999999985</c:v>
                </c:pt>
                <c:pt idx="175">
                  <c:v>463.2800000000006</c:v>
                </c:pt>
                <c:pt idx="176">
                  <c:v>1389.2099999999996</c:v>
                </c:pt>
                <c:pt idx="177">
                  <c:v>462.79000000000065</c:v>
                </c:pt>
                <c:pt idx="178">
                  <c:v>1842.7999999999988</c:v>
                </c:pt>
                <c:pt idx="179">
                  <c:v>460.70000000000061</c:v>
                </c:pt>
                <c:pt idx="180">
                  <c:v>716.62000000000035</c:v>
                </c:pt>
                <c:pt idx="181">
                  <c:v>2295.7999999999984</c:v>
                </c:pt>
                <c:pt idx="182">
                  <c:v>716.62000000000035</c:v>
                </c:pt>
                <c:pt idx="183">
                  <c:v>1433.2399999999993</c:v>
                </c:pt>
                <c:pt idx="184">
                  <c:v>358.3100000000008</c:v>
                </c:pt>
                <c:pt idx="185">
                  <c:v>358.3100000000008</c:v>
                </c:pt>
                <c:pt idx="186">
                  <c:v>1433.2399999999993</c:v>
                </c:pt>
                <c:pt idx="187">
                  <c:v>716.62000000000035</c:v>
                </c:pt>
                <c:pt idx="188">
                  <c:v>358.3100000000008</c:v>
                </c:pt>
                <c:pt idx="189">
                  <c:v>1665.3999999999987</c:v>
                </c:pt>
                <c:pt idx="190">
                  <c:v>635.34000000000049</c:v>
                </c:pt>
                <c:pt idx="191">
                  <c:v>597.2000000000005</c:v>
                </c:pt>
                <c:pt idx="192">
                  <c:v>1286.8999999999996</c:v>
                </c:pt>
                <c:pt idx="193">
                  <c:v>755.76000000000022</c:v>
                </c:pt>
                <c:pt idx="194">
                  <c:v>188.94000000000099</c:v>
                </c:pt>
                <c:pt idx="195">
                  <c:v>188.94000000000099</c:v>
                </c:pt>
                <c:pt idx="196">
                  <c:v>944.7</c:v>
                </c:pt>
                <c:pt idx="197">
                  <c:v>188.94000000000099</c:v>
                </c:pt>
                <c:pt idx="198">
                  <c:v>802.85000000000014</c:v>
                </c:pt>
                <c:pt idx="199">
                  <c:v>160.57000000000102</c:v>
                </c:pt>
                <c:pt idx="200">
                  <c:v>160.57000000000102</c:v>
                </c:pt>
                <c:pt idx="201">
                  <c:v>321.14000000000078</c:v>
                </c:pt>
                <c:pt idx="202">
                  <c:v>321.14000000000078</c:v>
                </c:pt>
                <c:pt idx="203">
                  <c:v>2189.2499999999986</c:v>
                </c:pt>
                <c:pt idx="204">
                  <c:v>1750.2799999999988</c:v>
                </c:pt>
                <c:pt idx="205">
                  <c:v>1311.9899999999993</c:v>
                </c:pt>
                <c:pt idx="206">
                  <c:v>642.28000000000031</c:v>
                </c:pt>
                <c:pt idx="207">
                  <c:v>862.80000000000007</c:v>
                </c:pt>
                <c:pt idx="208">
                  <c:v>849.44000000000017</c:v>
                </c:pt>
                <c:pt idx="209">
                  <c:v>1698.8799999999992</c:v>
                </c:pt>
                <c:pt idx="210">
                  <c:v>160.57000000000102</c:v>
                </c:pt>
                <c:pt idx="211">
                  <c:v>422.9200000000007</c:v>
                </c:pt>
                <c:pt idx="212">
                  <c:v>823.54000000000008</c:v>
                </c:pt>
                <c:pt idx="213">
                  <c:v>642.28000000000031</c:v>
                </c:pt>
                <c:pt idx="214">
                  <c:v>1234.7099999999996</c:v>
                </c:pt>
                <c:pt idx="215">
                  <c:v>1646.2799999999988</c:v>
                </c:pt>
                <c:pt idx="216">
                  <c:v>411.57000000000068</c:v>
                </c:pt>
                <c:pt idx="217">
                  <c:v>321.14000000000078</c:v>
                </c:pt>
                <c:pt idx="218">
                  <c:v>1220.0999999999995</c:v>
                </c:pt>
                <c:pt idx="219">
                  <c:v>1220.0099999999998</c:v>
                </c:pt>
                <c:pt idx="220">
                  <c:v>321.14000000000078</c:v>
                </c:pt>
                <c:pt idx="221">
                  <c:v>160.57000000000102</c:v>
                </c:pt>
                <c:pt idx="222">
                  <c:v>321.14000000000078</c:v>
                </c:pt>
                <c:pt idx="223">
                  <c:v>1993.5999999999985</c:v>
                </c:pt>
                <c:pt idx="224">
                  <c:v>397.93000000000075</c:v>
                </c:pt>
                <c:pt idx="225">
                  <c:v>1182.4199999999996</c:v>
                </c:pt>
                <c:pt idx="226">
                  <c:v>394.14000000000073</c:v>
                </c:pt>
                <c:pt idx="227">
                  <c:v>771.70000000000027</c:v>
                </c:pt>
                <c:pt idx="228">
                  <c:v>1522.7999999999993</c:v>
                </c:pt>
                <c:pt idx="229">
                  <c:v>378.36000000000075</c:v>
                </c:pt>
                <c:pt idx="230">
                  <c:v>377.04000000000076</c:v>
                </c:pt>
                <c:pt idx="231">
                  <c:v>372.73000000000076</c:v>
                </c:pt>
                <c:pt idx="232">
                  <c:v>370.13000000000073</c:v>
                </c:pt>
                <c:pt idx="233">
                  <c:v>802.85000000000014</c:v>
                </c:pt>
                <c:pt idx="234">
                  <c:v>642.28000000000031</c:v>
                </c:pt>
                <c:pt idx="235">
                  <c:v>321.14000000000078</c:v>
                </c:pt>
                <c:pt idx="236">
                  <c:v>1815.7499999999986</c:v>
                </c:pt>
                <c:pt idx="237">
                  <c:v>321.14000000000078</c:v>
                </c:pt>
                <c:pt idx="238">
                  <c:v>160.57000000000102</c:v>
                </c:pt>
                <c:pt idx="239">
                  <c:v>802.85000000000014</c:v>
                </c:pt>
                <c:pt idx="240">
                  <c:v>481.7100000000006</c:v>
                </c:pt>
                <c:pt idx="241">
                  <c:v>154.20000000000104</c:v>
                </c:pt>
                <c:pt idx="242">
                  <c:v>30.840000000001208</c:v>
                </c:pt>
                <c:pt idx="243">
                  <c:v>91.44000000000112</c:v>
                </c:pt>
                <c:pt idx="244">
                  <c:v>1544.4199999999992</c:v>
                </c:pt>
                <c:pt idx="245">
                  <c:v>1133.3599999999997</c:v>
                </c:pt>
                <c:pt idx="246">
                  <c:v>719.20000000000039</c:v>
                </c:pt>
                <c:pt idx="247">
                  <c:v>2266.719999999998</c:v>
                </c:pt>
                <c:pt idx="248">
                  <c:v>3602.5599999999963</c:v>
                </c:pt>
                <c:pt idx="249">
                  <c:v>2701.9199999999978</c:v>
                </c:pt>
                <c:pt idx="250">
                  <c:v>4503.1999999999944</c:v>
                </c:pt>
                <c:pt idx="251">
                  <c:v>771.94000000000028</c:v>
                </c:pt>
                <c:pt idx="252">
                  <c:v>717.39000000000033</c:v>
                </c:pt>
                <c:pt idx="253">
                  <c:v>1434.7799999999993</c:v>
                </c:pt>
                <c:pt idx="254">
                  <c:v>2152.1699999999987</c:v>
                </c:pt>
                <c:pt idx="255">
                  <c:v>1286.4599999999996</c:v>
                </c:pt>
                <c:pt idx="256">
                  <c:v>1177.8399999999997</c:v>
                </c:pt>
                <c:pt idx="257">
                  <c:v>1424.9999999999995</c:v>
                </c:pt>
                <c:pt idx="258">
                  <c:v>1404.3999999999996</c:v>
                </c:pt>
                <c:pt idx="259">
                  <c:v>694.98000000000036</c:v>
                </c:pt>
                <c:pt idx="260">
                  <c:v>1041.7199999999998</c:v>
                </c:pt>
                <c:pt idx="261">
                  <c:v>1670.5499999999993</c:v>
                </c:pt>
                <c:pt idx="262">
                  <c:v>334.11000000000081</c:v>
                </c:pt>
                <c:pt idx="263">
                  <c:v>1336.4399999999996</c:v>
                </c:pt>
                <c:pt idx="264">
                  <c:v>2895.6999999999975</c:v>
                </c:pt>
                <c:pt idx="265">
                  <c:v>1286.9199999999996</c:v>
                </c:pt>
                <c:pt idx="266">
                  <c:v>1509.2699999999991</c:v>
                </c:pt>
                <c:pt idx="267">
                  <c:v>1006.1799999999998</c:v>
                </c:pt>
                <c:pt idx="268">
                  <c:v>617.72000000000048</c:v>
                </c:pt>
                <c:pt idx="269">
                  <c:v>1234.5199999999995</c:v>
                </c:pt>
                <c:pt idx="270">
                  <c:v>925.89</c:v>
                </c:pt>
                <c:pt idx="271">
                  <c:v>1234.4399999999996</c:v>
                </c:pt>
                <c:pt idx="272">
                  <c:v>1543.0499999999993</c:v>
                </c:pt>
                <c:pt idx="273">
                  <c:v>1234.4399999999996</c:v>
                </c:pt>
                <c:pt idx="274">
                  <c:v>1234.4399999999996</c:v>
                </c:pt>
                <c:pt idx="275">
                  <c:v>1233.7999999999997</c:v>
                </c:pt>
                <c:pt idx="276">
                  <c:v>308.45000000000084</c:v>
                </c:pt>
                <c:pt idx="277">
                  <c:v>925.34999999999991</c:v>
                </c:pt>
                <c:pt idx="278">
                  <c:v>977.6</c:v>
                </c:pt>
                <c:pt idx="279">
                  <c:v>488.80000000000064</c:v>
                </c:pt>
                <c:pt idx="280">
                  <c:v>607.48000000000047</c:v>
                </c:pt>
                <c:pt idx="281">
                  <c:v>2443.9999999999982</c:v>
                </c:pt>
                <c:pt idx="282">
                  <c:v>597.66000000000042</c:v>
                </c:pt>
                <c:pt idx="283">
                  <c:v>1466.3999999999992</c:v>
                </c:pt>
                <c:pt idx="284">
                  <c:v>881.1</c:v>
                </c:pt>
                <c:pt idx="285">
                  <c:v>1468.4499999999994</c:v>
                </c:pt>
                <c:pt idx="286">
                  <c:v>488.80000000000064</c:v>
                </c:pt>
                <c:pt idx="287">
                  <c:v>977.6</c:v>
                </c:pt>
                <c:pt idx="288">
                  <c:v>2443.9999999999982</c:v>
                </c:pt>
                <c:pt idx="289">
                  <c:v>1415.5999999999995</c:v>
                </c:pt>
                <c:pt idx="290">
                  <c:v>283.09000000000083</c:v>
                </c:pt>
                <c:pt idx="291">
                  <c:v>848.67000000000007</c:v>
                </c:pt>
                <c:pt idx="292">
                  <c:v>563.42000000000041</c:v>
                </c:pt>
                <c:pt idx="293">
                  <c:v>561.14000000000044</c:v>
                </c:pt>
                <c:pt idx="294">
                  <c:v>829.47000000000014</c:v>
                </c:pt>
                <c:pt idx="295">
                  <c:v>488.80000000000064</c:v>
                </c:pt>
                <c:pt idx="296">
                  <c:v>977.6</c:v>
                </c:pt>
                <c:pt idx="297">
                  <c:v>2443.9999999999982</c:v>
                </c:pt>
                <c:pt idx="298">
                  <c:v>921</c:v>
                </c:pt>
                <c:pt idx="299">
                  <c:v>1698.7999999999988</c:v>
                </c:pt>
                <c:pt idx="300">
                  <c:v>1234.7699999999995</c:v>
                </c:pt>
                <c:pt idx="301">
                  <c:v>1197.7799999999997</c:v>
                </c:pt>
                <c:pt idx="302">
                  <c:v>1196.8499999999995</c:v>
                </c:pt>
                <c:pt idx="303">
                  <c:v>1196.8499999999995</c:v>
                </c:pt>
                <c:pt idx="304">
                  <c:v>1108.3499999999999</c:v>
                </c:pt>
                <c:pt idx="305">
                  <c:v>738.9000000000002</c:v>
                </c:pt>
                <c:pt idx="306">
                  <c:v>1477.7999999999993</c:v>
                </c:pt>
                <c:pt idx="307">
                  <c:v>724.58000000000038</c:v>
                </c:pt>
                <c:pt idx="308">
                  <c:v>1086.8699999999999</c:v>
                </c:pt>
                <c:pt idx="309">
                  <c:v>1086.8699999999999</c:v>
                </c:pt>
                <c:pt idx="310">
                  <c:v>1091.1999999999998</c:v>
                </c:pt>
                <c:pt idx="311">
                  <c:v>1362.6999999999994</c:v>
                </c:pt>
                <c:pt idx="312">
                  <c:v>1348.8999999999992</c:v>
                </c:pt>
                <c:pt idx="313">
                  <c:v>809.34000000000015</c:v>
                </c:pt>
                <c:pt idx="314">
                  <c:v>809.34000000000015</c:v>
                </c:pt>
                <c:pt idx="315">
                  <c:v>1071.8399999999997</c:v>
                </c:pt>
                <c:pt idx="316">
                  <c:v>1064</c:v>
                </c:pt>
                <c:pt idx="317">
                  <c:v>530.78000000000054</c:v>
                </c:pt>
                <c:pt idx="318">
                  <c:v>1311.4999999999995</c:v>
                </c:pt>
                <c:pt idx="319">
                  <c:v>1811.4499999999989</c:v>
                </c:pt>
                <c:pt idx="320">
                  <c:v>1302.6499999999992</c:v>
                </c:pt>
                <c:pt idx="321">
                  <c:v>1086.8699999999999</c:v>
                </c:pt>
                <c:pt idx="322">
                  <c:v>1811.4499999999989</c:v>
                </c:pt>
                <c:pt idx="323">
                  <c:v>1029.52</c:v>
                </c:pt>
                <c:pt idx="324">
                  <c:v>1029.52</c:v>
                </c:pt>
                <c:pt idx="325">
                  <c:v>771.45000000000016</c:v>
                </c:pt>
                <c:pt idx="326">
                  <c:v>257.15000000000089</c:v>
                </c:pt>
                <c:pt idx="327">
                  <c:v>771.36000000000024</c:v>
                </c:pt>
                <c:pt idx="328">
                  <c:v>770.22000000000025</c:v>
                </c:pt>
                <c:pt idx="329">
                  <c:v>770.22000000000025</c:v>
                </c:pt>
                <c:pt idx="330">
                  <c:v>254.78000000000091</c:v>
                </c:pt>
                <c:pt idx="331">
                  <c:v>509.42000000000058</c:v>
                </c:pt>
                <c:pt idx="332">
                  <c:v>504.46000000000055</c:v>
                </c:pt>
                <c:pt idx="333">
                  <c:v>252.2300000000009</c:v>
                </c:pt>
                <c:pt idx="334">
                  <c:v>504.46000000000055</c:v>
                </c:pt>
                <c:pt idx="335">
                  <c:v>755.85000000000014</c:v>
                </c:pt>
                <c:pt idx="336">
                  <c:v>244.02000000000095</c:v>
                </c:pt>
                <c:pt idx="337">
                  <c:v>243.96000000000095</c:v>
                </c:pt>
                <c:pt idx="338">
                  <c:v>724.58000000000038</c:v>
                </c:pt>
                <c:pt idx="339">
                  <c:v>362.29000000000082</c:v>
                </c:pt>
                <c:pt idx="340">
                  <c:v>362.29000000000082</c:v>
                </c:pt>
                <c:pt idx="341">
                  <c:v>1255.1199999999994</c:v>
                </c:pt>
                <c:pt idx="342">
                  <c:v>1224.1999999999998</c:v>
                </c:pt>
                <c:pt idx="343">
                  <c:v>918.15000000000009</c:v>
                </c:pt>
                <c:pt idx="344">
                  <c:v>903.24</c:v>
                </c:pt>
                <c:pt idx="345">
                  <c:v>1163.2799999999997</c:v>
                </c:pt>
                <c:pt idx="346">
                  <c:v>581.64000000000044</c:v>
                </c:pt>
                <c:pt idx="347">
                  <c:v>1454.099999999999</c:v>
                </c:pt>
                <c:pt idx="348">
                  <c:v>1101</c:v>
                </c:pt>
                <c:pt idx="349">
                  <c:v>1101</c:v>
                </c:pt>
                <c:pt idx="350">
                  <c:v>825.75000000000011</c:v>
                </c:pt>
                <c:pt idx="351">
                  <c:v>1376.2499999999995</c:v>
                </c:pt>
                <c:pt idx="352">
                  <c:v>1376.2499999999995</c:v>
                </c:pt>
                <c:pt idx="353">
                  <c:v>275.25000000000091</c:v>
                </c:pt>
                <c:pt idx="354">
                  <c:v>550.50000000000057</c:v>
                </c:pt>
                <c:pt idx="355">
                  <c:v>550.50000000000057</c:v>
                </c:pt>
                <c:pt idx="356">
                  <c:v>550.50000000000057</c:v>
                </c:pt>
                <c:pt idx="357">
                  <c:v>550.50000000000057</c:v>
                </c:pt>
                <c:pt idx="358">
                  <c:v>825.75000000000011</c:v>
                </c:pt>
                <c:pt idx="359">
                  <c:v>1101</c:v>
                </c:pt>
                <c:pt idx="360">
                  <c:v>825.75000000000011</c:v>
                </c:pt>
                <c:pt idx="361">
                  <c:v>273.56000000000091</c:v>
                </c:pt>
                <c:pt idx="362">
                  <c:v>273.56000000000091</c:v>
                </c:pt>
                <c:pt idx="363">
                  <c:v>784.95000000000016</c:v>
                </c:pt>
                <c:pt idx="364">
                  <c:v>1031.48</c:v>
                </c:pt>
                <c:pt idx="365">
                  <c:v>242.72000000000094</c:v>
                </c:pt>
                <c:pt idx="366">
                  <c:v>970.88</c:v>
                </c:pt>
                <c:pt idx="367">
                  <c:v>970.88</c:v>
                </c:pt>
                <c:pt idx="368">
                  <c:v>970.88</c:v>
                </c:pt>
                <c:pt idx="369">
                  <c:v>1213.5999999999995</c:v>
                </c:pt>
                <c:pt idx="370">
                  <c:v>718.08000000000038</c:v>
                </c:pt>
                <c:pt idx="371">
                  <c:v>703.50000000000034</c:v>
                </c:pt>
                <c:pt idx="372">
                  <c:v>926.56</c:v>
                </c:pt>
                <c:pt idx="373">
                  <c:v>1158.1999999999994</c:v>
                </c:pt>
                <c:pt idx="374">
                  <c:v>1158.1999999999994</c:v>
                </c:pt>
                <c:pt idx="375">
                  <c:v>926.56</c:v>
                </c:pt>
                <c:pt idx="376">
                  <c:v>463.2800000000006</c:v>
                </c:pt>
                <c:pt idx="377">
                  <c:v>230.93000000000094</c:v>
                </c:pt>
                <c:pt idx="378">
                  <c:v>230.93000000000094</c:v>
                </c:pt>
                <c:pt idx="379">
                  <c:v>461.86000000000064</c:v>
                </c:pt>
                <c:pt idx="380">
                  <c:v>1154.6499999999996</c:v>
                </c:pt>
                <c:pt idx="381">
                  <c:v>1154.6499999999996</c:v>
                </c:pt>
                <c:pt idx="382">
                  <c:v>485.44000000000062</c:v>
                </c:pt>
                <c:pt idx="383">
                  <c:v>1213.1499999999996</c:v>
                </c:pt>
                <c:pt idx="384">
                  <c:v>485.26000000000062</c:v>
                </c:pt>
                <c:pt idx="385">
                  <c:v>242.63000000000093</c:v>
                </c:pt>
                <c:pt idx="386">
                  <c:v>1213.1499999999996</c:v>
                </c:pt>
                <c:pt idx="387">
                  <c:v>1213.1499999999996</c:v>
                </c:pt>
                <c:pt idx="388">
                  <c:v>970.52</c:v>
                </c:pt>
                <c:pt idx="389">
                  <c:v>970.52</c:v>
                </c:pt>
                <c:pt idx="390">
                  <c:v>727.89000000000021</c:v>
                </c:pt>
                <c:pt idx="391">
                  <c:v>727.89000000000021</c:v>
                </c:pt>
                <c:pt idx="392">
                  <c:v>228.76000000000093</c:v>
                </c:pt>
                <c:pt idx="393">
                  <c:v>456.94000000000062</c:v>
                </c:pt>
                <c:pt idx="394">
                  <c:v>1135.1499999999996</c:v>
                </c:pt>
                <c:pt idx="395">
                  <c:v>225.83000000000095</c:v>
                </c:pt>
                <c:pt idx="396">
                  <c:v>224.60000000000093</c:v>
                </c:pt>
                <c:pt idx="397">
                  <c:v>727.89000000000021</c:v>
                </c:pt>
                <c:pt idx="398">
                  <c:v>970.52</c:v>
                </c:pt>
                <c:pt idx="399">
                  <c:v>485.26000000000062</c:v>
                </c:pt>
                <c:pt idx="400">
                  <c:v>485.26000000000062</c:v>
                </c:pt>
                <c:pt idx="401">
                  <c:v>242.63000000000093</c:v>
                </c:pt>
                <c:pt idx="402">
                  <c:v>446.34000000000066</c:v>
                </c:pt>
                <c:pt idx="403">
                  <c:v>1093.8499999999999</c:v>
                </c:pt>
                <c:pt idx="404">
                  <c:v>1093.8499999999999</c:v>
                </c:pt>
                <c:pt idx="405">
                  <c:v>1093.8499999999999</c:v>
                </c:pt>
                <c:pt idx="406">
                  <c:v>437.08000000000067</c:v>
                </c:pt>
                <c:pt idx="407">
                  <c:v>645.57000000000028</c:v>
                </c:pt>
                <c:pt idx="408">
                  <c:v>636.99000000000046</c:v>
                </c:pt>
                <c:pt idx="409">
                  <c:v>1060.5</c:v>
                </c:pt>
                <c:pt idx="410">
                  <c:v>424.16000000000071</c:v>
                </c:pt>
                <c:pt idx="411">
                  <c:v>848.32000000000016</c:v>
                </c:pt>
                <c:pt idx="412">
                  <c:v>424.16000000000071</c:v>
                </c:pt>
                <c:pt idx="413">
                  <c:v>636.24000000000046</c:v>
                </c:pt>
                <c:pt idx="414">
                  <c:v>636.24000000000046</c:v>
                </c:pt>
                <c:pt idx="415">
                  <c:v>212.08000000000098</c:v>
                </c:pt>
                <c:pt idx="416">
                  <c:v>847.68000000000006</c:v>
                </c:pt>
                <c:pt idx="417">
                  <c:v>423.84000000000066</c:v>
                </c:pt>
                <c:pt idx="418">
                  <c:v>847.68000000000006</c:v>
                </c:pt>
                <c:pt idx="419">
                  <c:v>210.79000000000096</c:v>
                </c:pt>
                <c:pt idx="420">
                  <c:v>209.79000000000096</c:v>
                </c:pt>
                <c:pt idx="421">
                  <c:v>206.96000000000097</c:v>
                </c:pt>
                <c:pt idx="422">
                  <c:v>205.67000000000095</c:v>
                </c:pt>
                <c:pt idx="423">
                  <c:v>205.67000000000095</c:v>
                </c:pt>
                <c:pt idx="424">
                  <c:v>1028.3499999999999</c:v>
                </c:pt>
                <c:pt idx="425">
                  <c:v>617.01000000000045</c:v>
                </c:pt>
                <c:pt idx="426">
                  <c:v>818.56000000000006</c:v>
                </c:pt>
                <c:pt idx="427">
                  <c:v>610.05000000000041</c:v>
                </c:pt>
                <c:pt idx="428">
                  <c:v>1015.4499999999999</c:v>
                </c:pt>
                <c:pt idx="429">
                  <c:v>406.18000000000069</c:v>
                </c:pt>
                <c:pt idx="430">
                  <c:v>406.18000000000069</c:v>
                </c:pt>
                <c:pt idx="431">
                  <c:v>609.27000000000044</c:v>
                </c:pt>
                <c:pt idx="432">
                  <c:v>203.09000000000097</c:v>
                </c:pt>
                <c:pt idx="433">
                  <c:v>203.09000000000097</c:v>
                </c:pt>
                <c:pt idx="434">
                  <c:v>1015.4499999999999</c:v>
                </c:pt>
                <c:pt idx="435">
                  <c:v>406.18000000000069</c:v>
                </c:pt>
                <c:pt idx="436">
                  <c:v>609.27000000000044</c:v>
                </c:pt>
                <c:pt idx="437">
                  <c:v>406.18000000000069</c:v>
                </c:pt>
                <c:pt idx="438">
                  <c:v>200.66000000000099</c:v>
                </c:pt>
                <c:pt idx="439">
                  <c:v>976.75</c:v>
                </c:pt>
                <c:pt idx="440">
                  <c:v>970.52</c:v>
                </c:pt>
                <c:pt idx="441">
                  <c:v>1213.1499999999996</c:v>
                </c:pt>
                <c:pt idx="442">
                  <c:v>485.26000000000062</c:v>
                </c:pt>
                <c:pt idx="443">
                  <c:v>242.63000000000093</c:v>
                </c:pt>
                <c:pt idx="444">
                  <c:v>970.52</c:v>
                </c:pt>
                <c:pt idx="445">
                  <c:v>242.63000000000093</c:v>
                </c:pt>
                <c:pt idx="446">
                  <c:v>778.4000000000002</c:v>
                </c:pt>
                <c:pt idx="447">
                  <c:v>1213.1499999999996</c:v>
                </c:pt>
                <c:pt idx="448">
                  <c:v>579.09000000000049</c:v>
                </c:pt>
                <c:pt idx="449">
                  <c:v>385.60000000000076</c:v>
                </c:pt>
                <c:pt idx="450">
                  <c:v>578.40000000000055</c:v>
                </c:pt>
                <c:pt idx="451">
                  <c:v>569.91000000000042</c:v>
                </c:pt>
                <c:pt idx="452">
                  <c:v>759.88000000000022</c:v>
                </c:pt>
                <c:pt idx="453">
                  <c:v>759.88000000000022</c:v>
                </c:pt>
                <c:pt idx="454">
                  <c:v>569.91000000000042</c:v>
                </c:pt>
                <c:pt idx="455">
                  <c:v>949.85</c:v>
                </c:pt>
                <c:pt idx="456">
                  <c:v>569.91000000000042</c:v>
                </c:pt>
                <c:pt idx="457">
                  <c:v>189.97000000000099</c:v>
                </c:pt>
                <c:pt idx="458">
                  <c:v>379.94000000000074</c:v>
                </c:pt>
                <c:pt idx="459">
                  <c:v>949.85</c:v>
                </c:pt>
                <c:pt idx="460">
                  <c:v>379.94000000000074</c:v>
                </c:pt>
                <c:pt idx="461">
                  <c:v>379.94000000000074</c:v>
                </c:pt>
                <c:pt idx="462">
                  <c:v>727.89000000000021</c:v>
                </c:pt>
                <c:pt idx="463">
                  <c:v>242.63000000000093</c:v>
                </c:pt>
                <c:pt idx="464">
                  <c:v>485.26000000000062</c:v>
                </c:pt>
                <c:pt idx="465">
                  <c:v>727.89000000000021</c:v>
                </c:pt>
                <c:pt idx="466">
                  <c:v>242.63000000000093</c:v>
                </c:pt>
                <c:pt idx="467">
                  <c:v>558.3300000000005</c:v>
                </c:pt>
                <c:pt idx="468">
                  <c:v>929.25</c:v>
                </c:pt>
                <c:pt idx="469">
                  <c:v>180.16000000000102</c:v>
                </c:pt>
                <c:pt idx="470">
                  <c:v>720.64000000000033</c:v>
                </c:pt>
                <c:pt idx="471">
                  <c:v>540.48000000000059</c:v>
                </c:pt>
                <c:pt idx="472">
                  <c:v>538.23000000000059</c:v>
                </c:pt>
                <c:pt idx="473">
                  <c:v>895.60000000000014</c:v>
                </c:pt>
                <c:pt idx="474">
                  <c:v>894.50000000000011</c:v>
                </c:pt>
                <c:pt idx="475">
                  <c:v>715.48000000000036</c:v>
                </c:pt>
                <c:pt idx="476">
                  <c:v>178.87000000000103</c:v>
                </c:pt>
                <c:pt idx="477">
                  <c:v>715.48000000000036</c:v>
                </c:pt>
                <c:pt idx="478">
                  <c:v>894.35000000000014</c:v>
                </c:pt>
                <c:pt idx="479">
                  <c:v>715.48000000000036</c:v>
                </c:pt>
                <c:pt idx="480">
                  <c:v>531.81000000000063</c:v>
                </c:pt>
                <c:pt idx="481">
                  <c:v>531.81000000000063</c:v>
                </c:pt>
                <c:pt idx="482">
                  <c:v>886.35000000000014</c:v>
                </c:pt>
                <c:pt idx="483">
                  <c:v>709.08000000000038</c:v>
                </c:pt>
                <c:pt idx="484">
                  <c:v>709.08000000000038</c:v>
                </c:pt>
                <c:pt idx="485">
                  <c:v>880.2</c:v>
                </c:pt>
                <c:pt idx="486">
                  <c:v>525.12000000000057</c:v>
                </c:pt>
                <c:pt idx="487">
                  <c:v>175.01000000000101</c:v>
                </c:pt>
                <c:pt idx="488">
                  <c:v>517.38000000000056</c:v>
                </c:pt>
                <c:pt idx="489">
                  <c:v>862.30000000000018</c:v>
                </c:pt>
                <c:pt idx="490">
                  <c:v>1149.4999999999995</c:v>
                </c:pt>
                <c:pt idx="491">
                  <c:v>919.6</c:v>
                </c:pt>
                <c:pt idx="492">
                  <c:v>919.6</c:v>
                </c:pt>
                <c:pt idx="493">
                  <c:v>919.6</c:v>
                </c:pt>
                <c:pt idx="494">
                  <c:v>459.80000000000064</c:v>
                </c:pt>
                <c:pt idx="495">
                  <c:v>919.6</c:v>
                </c:pt>
                <c:pt idx="496">
                  <c:v>689.70000000000039</c:v>
                </c:pt>
                <c:pt idx="497">
                  <c:v>689.70000000000039</c:v>
                </c:pt>
                <c:pt idx="498">
                  <c:v>459.80000000000064</c:v>
                </c:pt>
                <c:pt idx="499">
                  <c:v>1149.4999999999995</c:v>
                </c:pt>
                <c:pt idx="500">
                  <c:v>895.80000000000007</c:v>
                </c:pt>
                <c:pt idx="501">
                  <c:v>447.90000000000066</c:v>
                </c:pt>
                <c:pt idx="502">
                  <c:v>223.95000000000095</c:v>
                </c:pt>
                <c:pt idx="503">
                  <c:v>895.80000000000007</c:v>
                </c:pt>
                <c:pt idx="504">
                  <c:v>671.85000000000025</c:v>
                </c:pt>
                <c:pt idx="505">
                  <c:v>780.24000000000024</c:v>
                </c:pt>
                <c:pt idx="506">
                  <c:v>195.060000000001</c:v>
                </c:pt>
                <c:pt idx="507">
                  <c:v>585.18000000000052</c:v>
                </c:pt>
                <c:pt idx="508">
                  <c:v>171.17000000000101</c:v>
                </c:pt>
                <c:pt idx="509">
                  <c:v>339.6200000000008</c:v>
                </c:pt>
                <c:pt idx="510">
                  <c:v>848.15000000000009</c:v>
                </c:pt>
                <c:pt idx="511">
                  <c:v>169.63000000000102</c:v>
                </c:pt>
                <c:pt idx="512">
                  <c:v>508.11000000000058</c:v>
                </c:pt>
                <c:pt idx="513">
                  <c:v>506.58000000000061</c:v>
                </c:pt>
                <c:pt idx="514">
                  <c:v>334.6200000000008</c:v>
                </c:pt>
                <c:pt idx="515">
                  <c:v>669.16000000000031</c:v>
                </c:pt>
                <c:pt idx="516">
                  <c:v>668.4400000000004</c:v>
                </c:pt>
                <c:pt idx="517">
                  <c:v>334.1200000000008</c:v>
                </c:pt>
                <c:pt idx="518">
                  <c:v>835.30000000000007</c:v>
                </c:pt>
                <c:pt idx="519">
                  <c:v>832.05000000000007</c:v>
                </c:pt>
                <c:pt idx="520">
                  <c:v>329.90000000000077</c:v>
                </c:pt>
                <c:pt idx="521">
                  <c:v>824.75000000000011</c:v>
                </c:pt>
                <c:pt idx="522">
                  <c:v>494.85000000000053</c:v>
                </c:pt>
                <c:pt idx="523">
                  <c:v>329.90000000000077</c:v>
                </c:pt>
                <c:pt idx="524">
                  <c:v>329.90000000000077</c:v>
                </c:pt>
                <c:pt idx="525">
                  <c:v>658.84000000000037</c:v>
                </c:pt>
                <c:pt idx="526">
                  <c:v>390.12000000000074</c:v>
                </c:pt>
                <c:pt idx="527">
                  <c:v>585.18000000000052</c:v>
                </c:pt>
                <c:pt idx="528">
                  <c:v>585.18000000000052</c:v>
                </c:pt>
                <c:pt idx="529">
                  <c:v>773.04000000000019</c:v>
                </c:pt>
                <c:pt idx="530">
                  <c:v>516.69000000000051</c:v>
                </c:pt>
                <c:pt idx="531">
                  <c:v>861.15000000000009</c:v>
                </c:pt>
                <c:pt idx="532">
                  <c:v>688.9200000000003</c:v>
                </c:pt>
                <c:pt idx="533">
                  <c:v>516.69000000000051</c:v>
                </c:pt>
                <c:pt idx="534">
                  <c:v>172.23000000000101</c:v>
                </c:pt>
                <c:pt idx="535">
                  <c:v>861.15000000000009</c:v>
                </c:pt>
                <c:pt idx="536">
                  <c:v>344.46000000000078</c:v>
                </c:pt>
                <c:pt idx="537">
                  <c:v>344.46000000000078</c:v>
                </c:pt>
                <c:pt idx="538">
                  <c:v>516.69000000000051</c:v>
                </c:pt>
                <c:pt idx="539">
                  <c:v>344.46000000000078</c:v>
                </c:pt>
                <c:pt idx="540">
                  <c:v>344.46000000000078</c:v>
                </c:pt>
                <c:pt idx="541">
                  <c:v>344.46000000000078</c:v>
                </c:pt>
                <c:pt idx="542">
                  <c:v>344.46000000000078</c:v>
                </c:pt>
                <c:pt idx="543">
                  <c:v>688.9200000000003</c:v>
                </c:pt>
                <c:pt idx="544">
                  <c:v>344.46000000000078</c:v>
                </c:pt>
                <c:pt idx="545">
                  <c:v>474.15000000000066</c:v>
                </c:pt>
                <c:pt idx="546">
                  <c:v>154.44000000000105</c:v>
                </c:pt>
                <c:pt idx="547">
                  <c:v>462.57000000000062</c:v>
                </c:pt>
                <c:pt idx="548">
                  <c:v>616.76000000000045</c:v>
                </c:pt>
                <c:pt idx="549">
                  <c:v>308.32000000000085</c:v>
                </c:pt>
                <c:pt idx="550">
                  <c:v>344.46000000000078</c:v>
                </c:pt>
                <c:pt idx="551">
                  <c:v>302.20000000000084</c:v>
                </c:pt>
                <c:pt idx="552">
                  <c:v>452.91000000000059</c:v>
                </c:pt>
                <c:pt idx="553">
                  <c:v>301.94000000000085</c:v>
                </c:pt>
                <c:pt idx="554">
                  <c:v>301.94000000000085</c:v>
                </c:pt>
                <c:pt idx="555">
                  <c:v>301.90000000000083</c:v>
                </c:pt>
                <c:pt idx="556">
                  <c:v>600.16000000000042</c:v>
                </c:pt>
                <c:pt idx="557">
                  <c:v>440.55000000000064</c:v>
                </c:pt>
                <c:pt idx="558">
                  <c:v>726.8000000000003</c:v>
                </c:pt>
                <c:pt idx="559">
                  <c:v>144.12000000000106</c:v>
                </c:pt>
                <c:pt idx="560">
                  <c:v>571.36000000000047</c:v>
                </c:pt>
                <c:pt idx="561">
                  <c:v>707.75000000000034</c:v>
                </c:pt>
                <c:pt idx="562">
                  <c:v>704.10000000000025</c:v>
                </c:pt>
                <c:pt idx="563">
                  <c:v>172.23000000000101</c:v>
                </c:pt>
                <c:pt idx="564">
                  <c:v>172.22000000000102</c:v>
                </c:pt>
                <c:pt idx="565">
                  <c:v>616.64000000000044</c:v>
                </c:pt>
                <c:pt idx="566">
                  <c:v>139.68000000000106</c:v>
                </c:pt>
                <c:pt idx="567">
                  <c:v>558.72000000000048</c:v>
                </c:pt>
                <c:pt idx="568">
                  <c:v>698.40000000000043</c:v>
                </c:pt>
                <c:pt idx="569">
                  <c:v>558.72000000000048</c:v>
                </c:pt>
                <c:pt idx="570">
                  <c:v>279.36000000000087</c:v>
                </c:pt>
                <c:pt idx="571">
                  <c:v>419.0400000000007</c:v>
                </c:pt>
                <c:pt idx="572">
                  <c:v>558.72000000000048</c:v>
                </c:pt>
                <c:pt idx="573">
                  <c:v>558.72000000000048</c:v>
                </c:pt>
                <c:pt idx="574">
                  <c:v>419.0400000000007</c:v>
                </c:pt>
                <c:pt idx="575">
                  <c:v>419.0400000000007</c:v>
                </c:pt>
                <c:pt idx="576">
                  <c:v>139.64000000000104</c:v>
                </c:pt>
                <c:pt idx="577">
                  <c:v>139.64000000000104</c:v>
                </c:pt>
                <c:pt idx="578">
                  <c:v>138.71000000000106</c:v>
                </c:pt>
                <c:pt idx="579">
                  <c:v>693.55000000000041</c:v>
                </c:pt>
                <c:pt idx="580">
                  <c:v>548.7200000000006</c:v>
                </c:pt>
                <c:pt idx="581">
                  <c:v>408.51000000000067</c:v>
                </c:pt>
                <c:pt idx="582">
                  <c:v>270.02000000000089</c:v>
                </c:pt>
                <c:pt idx="583">
                  <c:v>135.01000000000107</c:v>
                </c:pt>
                <c:pt idx="584">
                  <c:v>401.49000000000075</c:v>
                </c:pt>
                <c:pt idx="585">
                  <c:v>279.28000000000083</c:v>
                </c:pt>
                <c:pt idx="586">
                  <c:v>558.5600000000004</c:v>
                </c:pt>
                <c:pt idx="587">
                  <c:v>558.5600000000004</c:v>
                </c:pt>
                <c:pt idx="588">
                  <c:v>514.7200000000006</c:v>
                </c:pt>
                <c:pt idx="589">
                  <c:v>514.7200000000006</c:v>
                </c:pt>
                <c:pt idx="590">
                  <c:v>657.65000000000032</c:v>
                </c:pt>
                <c:pt idx="591">
                  <c:v>657.65000000000032</c:v>
                </c:pt>
                <c:pt idx="592">
                  <c:v>657.65000000000032</c:v>
                </c:pt>
                <c:pt idx="593">
                  <c:v>256.84000000000088</c:v>
                </c:pt>
                <c:pt idx="594">
                  <c:v>256.84000000000088</c:v>
                </c:pt>
                <c:pt idx="595">
                  <c:v>256.84000000000088</c:v>
                </c:pt>
                <c:pt idx="596">
                  <c:v>513.68000000000052</c:v>
                </c:pt>
                <c:pt idx="597">
                  <c:v>513.68000000000052</c:v>
                </c:pt>
                <c:pt idx="598">
                  <c:v>513.68000000000052</c:v>
                </c:pt>
                <c:pt idx="599">
                  <c:v>256.84000000000088</c:v>
                </c:pt>
                <c:pt idx="600">
                  <c:v>385.26000000000073</c:v>
                </c:pt>
                <c:pt idx="601">
                  <c:v>256.84000000000088</c:v>
                </c:pt>
                <c:pt idx="602">
                  <c:v>385.26000000000073</c:v>
                </c:pt>
                <c:pt idx="603">
                  <c:v>256.84000000000088</c:v>
                </c:pt>
                <c:pt idx="604">
                  <c:v>642.10000000000025</c:v>
                </c:pt>
                <c:pt idx="605">
                  <c:v>128.42000000000107</c:v>
                </c:pt>
                <c:pt idx="606">
                  <c:v>128.42000000000107</c:v>
                </c:pt>
                <c:pt idx="607">
                  <c:v>128.42000000000107</c:v>
                </c:pt>
                <c:pt idx="608">
                  <c:v>513.68000000000052</c:v>
                </c:pt>
                <c:pt idx="609">
                  <c:v>385.26000000000073</c:v>
                </c:pt>
                <c:pt idx="610">
                  <c:v>642.10000000000025</c:v>
                </c:pt>
                <c:pt idx="611">
                  <c:v>385.26000000000073</c:v>
                </c:pt>
                <c:pt idx="612">
                  <c:v>642.10000000000025</c:v>
                </c:pt>
                <c:pt idx="613">
                  <c:v>128.42000000000107</c:v>
                </c:pt>
                <c:pt idx="614">
                  <c:v>642.10000000000025</c:v>
                </c:pt>
                <c:pt idx="615">
                  <c:v>256.84000000000088</c:v>
                </c:pt>
                <c:pt idx="616">
                  <c:v>128.42000000000107</c:v>
                </c:pt>
                <c:pt idx="617">
                  <c:v>256.84000000000088</c:v>
                </c:pt>
                <c:pt idx="618">
                  <c:v>128.42000000000107</c:v>
                </c:pt>
                <c:pt idx="619">
                  <c:v>513.68000000000052</c:v>
                </c:pt>
                <c:pt idx="620">
                  <c:v>642.10000000000025</c:v>
                </c:pt>
                <c:pt idx="621">
                  <c:v>513.68000000000052</c:v>
                </c:pt>
                <c:pt idx="622">
                  <c:v>385.26000000000073</c:v>
                </c:pt>
                <c:pt idx="623">
                  <c:v>385.26000000000073</c:v>
                </c:pt>
                <c:pt idx="624">
                  <c:v>128.42000000000107</c:v>
                </c:pt>
                <c:pt idx="625">
                  <c:v>128.42000000000107</c:v>
                </c:pt>
                <c:pt idx="626">
                  <c:v>256.84000000000088</c:v>
                </c:pt>
                <c:pt idx="627">
                  <c:v>256.84000000000088</c:v>
                </c:pt>
                <c:pt idx="628">
                  <c:v>642.10000000000025</c:v>
                </c:pt>
                <c:pt idx="629">
                  <c:v>642.10000000000025</c:v>
                </c:pt>
                <c:pt idx="630">
                  <c:v>385.26000000000073</c:v>
                </c:pt>
                <c:pt idx="631">
                  <c:v>642.10000000000025</c:v>
                </c:pt>
                <c:pt idx="632">
                  <c:v>128.42000000000107</c:v>
                </c:pt>
                <c:pt idx="633">
                  <c:v>256.84000000000088</c:v>
                </c:pt>
                <c:pt idx="634">
                  <c:v>128.42000000000107</c:v>
                </c:pt>
                <c:pt idx="635">
                  <c:v>254.78000000000091</c:v>
                </c:pt>
                <c:pt idx="636">
                  <c:v>502.44000000000057</c:v>
                </c:pt>
                <c:pt idx="637">
                  <c:v>502.44000000000057</c:v>
                </c:pt>
                <c:pt idx="638">
                  <c:v>125.61000000000108</c:v>
                </c:pt>
                <c:pt idx="639">
                  <c:v>619.05000000000041</c:v>
                </c:pt>
                <c:pt idx="640">
                  <c:v>617.80000000000041</c:v>
                </c:pt>
                <c:pt idx="641">
                  <c:v>366.42000000000075</c:v>
                </c:pt>
                <c:pt idx="642">
                  <c:v>121.24000000000109</c:v>
                </c:pt>
                <c:pt idx="643">
                  <c:v>604.90000000000043</c:v>
                </c:pt>
                <c:pt idx="644">
                  <c:v>482.88000000000062</c:v>
                </c:pt>
                <c:pt idx="645">
                  <c:v>119.9500000000011</c:v>
                </c:pt>
                <c:pt idx="646">
                  <c:v>119.9500000000011</c:v>
                </c:pt>
                <c:pt idx="647">
                  <c:v>237.80000000000095</c:v>
                </c:pt>
                <c:pt idx="648">
                  <c:v>590.05000000000052</c:v>
                </c:pt>
                <c:pt idx="649">
                  <c:v>463.32000000000062</c:v>
                </c:pt>
                <c:pt idx="650">
                  <c:v>463.24000000000063</c:v>
                </c:pt>
                <c:pt idx="651">
                  <c:v>462.32000000000062</c:v>
                </c:pt>
                <c:pt idx="652">
                  <c:v>461.2800000000006</c:v>
                </c:pt>
                <c:pt idx="653">
                  <c:v>458.52000000000061</c:v>
                </c:pt>
                <c:pt idx="654">
                  <c:v>335.91000000000076</c:v>
                </c:pt>
                <c:pt idx="655">
                  <c:v>221.36000000000098</c:v>
                </c:pt>
                <c:pt idx="656">
                  <c:v>513.68000000000052</c:v>
                </c:pt>
                <c:pt idx="657">
                  <c:v>256.84000000000088</c:v>
                </c:pt>
                <c:pt idx="658">
                  <c:v>513.68000000000052</c:v>
                </c:pt>
                <c:pt idx="659">
                  <c:v>438.64000000000067</c:v>
                </c:pt>
                <c:pt idx="660">
                  <c:v>110.36000000000111</c:v>
                </c:pt>
                <c:pt idx="661">
                  <c:v>544.90000000000055</c:v>
                </c:pt>
                <c:pt idx="662">
                  <c:v>326.94000000000079</c:v>
                </c:pt>
                <c:pt idx="663">
                  <c:v>108.11000000000111</c:v>
                </c:pt>
                <c:pt idx="664">
                  <c:v>220.72000000000097</c:v>
                </c:pt>
                <c:pt idx="665">
                  <c:v>220.72000000000097</c:v>
                </c:pt>
                <c:pt idx="666">
                  <c:v>109.36000000000111</c:v>
                </c:pt>
                <c:pt idx="667">
                  <c:v>106.98000000000111</c:v>
                </c:pt>
                <c:pt idx="668">
                  <c:v>213.08000000000098</c:v>
                </c:pt>
                <c:pt idx="669">
                  <c:v>422.80000000000069</c:v>
                </c:pt>
                <c:pt idx="670">
                  <c:v>528.50000000000057</c:v>
                </c:pt>
                <c:pt idx="671">
                  <c:v>422.80000000000069</c:v>
                </c:pt>
                <c:pt idx="672">
                  <c:v>528.50000000000057</c:v>
                </c:pt>
                <c:pt idx="673">
                  <c:v>422.80000000000069</c:v>
                </c:pt>
                <c:pt idx="674">
                  <c:v>210.04000000000096</c:v>
                </c:pt>
                <c:pt idx="675">
                  <c:v>411.76000000000067</c:v>
                </c:pt>
                <c:pt idx="676">
                  <c:v>514.70000000000061</c:v>
                </c:pt>
                <c:pt idx="677">
                  <c:v>512.90000000000055</c:v>
                </c:pt>
                <c:pt idx="678">
                  <c:v>410.32000000000068</c:v>
                </c:pt>
                <c:pt idx="679">
                  <c:v>537.25000000000057</c:v>
                </c:pt>
                <c:pt idx="680">
                  <c:v>100.47000000000112</c:v>
                </c:pt>
                <c:pt idx="681">
                  <c:v>301.17000000000087</c:v>
                </c:pt>
                <c:pt idx="682">
                  <c:v>501.95000000000056</c:v>
                </c:pt>
                <c:pt idx="683">
                  <c:v>200.780000000001</c:v>
                </c:pt>
                <c:pt idx="684">
                  <c:v>200.72000000000099</c:v>
                </c:pt>
                <c:pt idx="685">
                  <c:v>500.65000000000055</c:v>
                </c:pt>
                <c:pt idx="686">
                  <c:v>495.50000000000057</c:v>
                </c:pt>
                <c:pt idx="687">
                  <c:v>97.790000000001129</c:v>
                </c:pt>
                <c:pt idx="688">
                  <c:v>290.01000000000084</c:v>
                </c:pt>
                <c:pt idx="689">
                  <c:v>96.670000000001124</c:v>
                </c:pt>
                <c:pt idx="690">
                  <c:v>474.90000000000066</c:v>
                </c:pt>
                <c:pt idx="691">
                  <c:v>378.80000000000075</c:v>
                </c:pt>
                <c:pt idx="692">
                  <c:v>283.98000000000087</c:v>
                </c:pt>
                <c:pt idx="693">
                  <c:v>377.88000000000073</c:v>
                </c:pt>
                <c:pt idx="694">
                  <c:v>187.020000000001</c:v>
                </c:pt>
                <c:pt idx="695">
                  <c:v>92.410000000001119</c:v>
                </c:pt>
                <c:pt idx="696">
                  <c:v>91.610000000001122</c:v>
                </c:pt>
                <c:pt idx="697">
                  <c:v>182.76000000000099</c:v>
                </c:pt>
                <c:pt idx="698">
                  <c:v>91.340000000001126</c:v>
                </c:pt>
                <c:pt idx="699">
                  <c:v>361.76000000000079</c:v>
                </c:pt>
                <c:pt idx="700">
                  <c:v>90.07000000000113</c:v>
                </c:pt>
                <c:pt idx="701">
                  <c:v>90.07000000000113</c:v>
                </c:pt>
                <c:pt idx="702">
                  <c:v>359.36000000000081</c:v>
                </c:pt>
                <c:pt idx="703">
                  <c:v>322.35000000000082</c:v>
                </c:pt>
                <c:pt idx="704">
                  <c:v>537.25000000000057</c:v>
                </c:pt>
                <c:pt idx="705">
                  <c:v>202.32000000000099</c:v>
                </c:pt>
                <c:pt idx="706">
                  <c:v>353.16000000000082</c:v>
                </c:pt>
                <c:pt idx="707">
                  <c:v>437.60000000000065</c:v>
                </c:pt>
                <c:pt idx="708">
                  <c:v>87.260000000001142</c:v>
                </c:pt>
                <c:pt idx="709">
                  <c:v>435.00000000000068</c:v>
                </c:pt>
                <c:pt idx="710">
                  <c:v>431.15000000000072</c:v>
                </c:pt>
                <c:pt idx="711">
                  <c:v>344.92000000000081</c:v>
                </c:pt>
                <c:pt idx="712">
                  <c:v>258.69000000000091</c:v>
                </c:pt>
                <c:pt idx="713">
                  <c:v>257.43000000000092</c:v>
                </c:pt>
                <c:pt idx="714">
                  <c:v>339.76000000000079</c:v>
                </c:pt>
                <c:pt idx="715">
                  <c:v>169.38000000000102</c:v>
                </c:pt>
                <c:pt idx="716">
                  <c:v>422.15000000000072</c:v>
                </c:pt>
                <c:pt idx="717">
                  <c:v>253.29000000000093</c:v>
                </c:pt>
                <c:pt idx="718">
                  <c:v>165.26000000000101</c:v>
                </c:pt>
                <c:pt idx="719">
                  <c:v>411.70000000000073</c:v>
                </c:pt>
                <c:pt idx="720">
                  <c:v>81.860000000001136</c:v>
                </c:pt>
                <c:pt idx="721">
                  <c:v>321.04000000000082</c:v>
                </c:pt>
                <c:pt idx="722">
                  <c:v>79.020000000001147</c:v>
                </c:pt>
                <c:pt idx="723">
                  <c:v>314.04000000000087</c:v>
                </c:pt>
                <c:pt idx="724">
                  <c:v>77.740000000001146</c:v>
                </c:pt>
                <c:pt idx="725">
                  <c:v>77.630000000001147</c:v>
                </c:pt>
                <c:pt idx="726">
                  <c:v>155.26000000000104</c:v>
                </c:pt>
                <c:pt idx="727">
                  <c:v>154.44000000000105</c:v>
                </c:pt>
                <c:pt idx="728">
                  <c:v>231.51000000000093</c:v>
                </c:pt>
                <c:pt idx="729">
                  <c:v>152.60000000000105</c:v>
                </c:pt>
                <c:pt idx="730">
                  <c:v>303.76000000000084</c:v>
                </c:pt>
                <c:pt idx="731">
                  <c:v>151.82000000000104</c:v>
                </c:pt>
                <c:pt idx="732">
                  <c:v>75.380000000001147</c:v>
                </c:pt>
                <c:pt idx="733">
                  <c:v>75.160000000001148</c:v>
                </c:pt>
                <c:pt idx="734">
                  <c:v>146.72000000000105</c:v>
                </c:pt>
                <c:pt idx="735">
                  <c:v>365.50000000000074</c:v>
                </c:pt>
                <c:pt idx="736">
                  <c:v>289.32000000000085</c:v>
                </c:pt>
                <c:pt idx="737">
                  <c:v>72.070000000001144</c:v>
                </c:pt>
                <c:pt idx="738">
                  <c:v>71.900000000001157</c:v>
                </c:pt>
                <c:pt idx="739">
                  <c:v>71.820000000001144</c:v>
                </c:pt>
                <c:pt idx="740">
                  <c:v>71.820000000001144</c:v>
                </c:pt>
                <c:pt idx="741">
                  <c:v>71.560000000001153</c:v>
                </c:pt>
                <c:pt idx="742">
                  <c:v>212.37000000000097</c:v>
                </c:pt>
                <c:pt idx="743">
                  <c:v>70.790000000001157</c:v>
                </c:pt>
                <c:pt idx="744">
                  <c:v>281.60000000000088</c:v>
                </c:pt>
                <c:pt idx="745">
                  <c:v>281.08000000000084</c:v>
                </c:pt>
                <c:pt idx="746">
                  <c:v>351.35000000000076</c:v>
                </c:pt>
                <c:pt idx="747">
                  <c:v>276.96000000000089</c:v>
                </c:pt>
                <c:pt idx="748">
                  <c:v>276.96000000000089</c:v>
                </c:pt>
                <c:pt idx="749">
                  <c:v>207.72000000000094</c:v>
                </c:pt>
                <c:pt idx="750">
                  <c:v>207.24000000000098</c:v>
                </c:pt>
                <c:pt idx="751">
                  <c:v>136.64000000000107</c:v>
                </c:pt>
                <c:pt idx="752">
                  <c:v>337.20000000000078</c:v>
                </c:pt>
                <c:pt idx="753">
                  <c:v>202.20000000000101</c:v>
                </c:pt>
                <c:pt idx="754">
                  <c:v>133.86000000000109</c:v>
                </c:pt>
                <c:pt idx="755">
                  <c:v>267.72000000000094</c:v>
                </c:pt>
                <c:pt idx="756">
                  <c:v>441.45000000000073</c:v>
                </c:pt>
                <c:pt idx="757">
                  <c:v>88.290000000001143</c:v>
                </c:pt>
                <c:pt idx="758">
                  <c:v>133.80000000000109</c:v>
                </c:pt>
                <c:pt idx="759">
                  <c:v>133.74000000000109</c:v>
                </c:pt>
                <c:pt idx="760">
                  <c:v>200.61000000000101</c:v>
                </c:pt>
                <c:pt idx="761">
                  <c:v>265.6400000000009</c:v>
                </c:pt>
                <c:pt idx="762">
                  <c:v>261.52000000000089</c:v>
                </c:pt>
                <c:pt idx="763">
                  <c:v>130.56000000000108</c:v>
                </c:pt>
                <c:pt idx="764">
                  <c:v>259.12000000000091</c:v>
                </c:pt>
                <c:pt idx="765">
                  <c:v>129.22000000000108</c:v>
                </c:pt>
                <c:pt idx="766">
                  <c:v>256.68000000000092</c:v>
                </c:pt>
                <c:pt idx="767">
                  <c:v>352.96000000000078</c:v>
                </c:pt>
                <c:pt idx="768">
                  <c:v>334.5000000000008</c:v>
                </c:pt>
                <c:pt idx="769">
                  <c:v>133.80000000000109</c:v>
                </c:pt>
                <c:pt idx="770">
                  <c:v>319.2000000000009</c:v>
                </c:pt>
                <c:pt idx="771">
                  <c:v>62.810000000001168</c:v>
                </c:pt>
                <c:pt idx="772">
                  <c:v>125.56000000000108</c:v>
                </c:pt>
                <c:pt idx="773">
                  <c:v>250.2000000000009</c:v>
                </c:pt>
                <c:pt idx="774">
                  <c:v>61.750000000001165</c:v>
                </c:pt>
                <c:pt idx="775">
                  <c:v>123.50000000000108</c:v>
                </c:pt>
                <c:pt idx="776">
                  <c:v>184.95000000000098</c:v>
                </c:pt>
                <c:pt idx="777">
                  <c:v>184.95000000000098</c:v>
                </c:pt>
                <c:pt idx="778">
                  <c:v>123.30000000000108</c:v>
                </c:pt>
                <c:pt idx="779">
                  <c:v>308.25000000000085</c:v>
                </c:pt>
                <c:pt idx="780">
                  <c:v>123.30000000000108</c:v>
                </c:pt>
                <c:pt idx="781">
                  <c:v>246.6000000000009</c:v>
                </c:pt>
                <c:pt idx="782">
                  <c:v>246.6000000000009</c:v>
                </c:pt>
                <c:pt idx="783">
                  <c:v>308.25000000000085</c:v>
                </c:pt>
                <c:pt idx="784">
                  <c:v>244.04000000000093</c:v>
                </c:pt>
                <c:pt idx="785">
                  <c:v>59.720000000001171</c:v>
                </c:pt>
                <c:pt idx="786">
                  <c:v>295.90000000000083</c:v>
                </c:pt>
                <c:pt idx="787">
                  <c:v>59.130000000001175</c:v>
                </c:pt>
                <c:pt idx="788">
                  <c:v>231.68000000000094</c:v>
                </c:pt>
                <c:pt idx="789">
                  <c:v>173.76000000000101</c:v>
                </c:pt>
                <c:pt idx="790">
                  <c:v>283.15000000000089</c:v>
                </c:pt>
                <c:pt idx="791">
                  <c:v>226.40000000000094</c:v>
                </c:pt>
                <c:pt idx="792">
                  <c:v>283.00000000000085</c:v>
                </c:pt>
                <c:pt idx="793">
                  <c:v>225.48000000000093</c:v>
                </c:pt>
                <c:pt idx="794">
                  <c:v>169.05000000000103</c:v>
                </c:pt>
                <c:pt idx="795">
                  <c:v>112.58000000000109</c:v>
                </c:pt>
                <c:pt idx="796">
                  <c:v>223.44000000000096</c:v>
                </c:pt>
                <c:pt idx="797">
                  <c:v>223.44000000000096</c:v>
                </c:pt>
                <c:pt idx="798">
                  <c:v>166.02000000000103</c:v>
                </c:pt>
                <c:pt idx="799">
                  <c:v>54.830000000001178</c:v>
                </c:pt>
                <c:pt idx="800">
                  <c:v>162.75000000000102</c:v>
                </c:pt>
                <c:pt idx="801">
                  <c:v>270.30000000000092</c:v>
                </c:pt>
                <c:pt idx="802">
                  <c:v>53.800000000001177</c:v>
                </c:pt>
                <c:pt idx="803">
                  <c:v>52.920000000001181</c:v>
                </c:pt>
                <c:pt idx="804">
                  <c:v>263.85000000000093</c:v>
                </c:pt>
                <c:pt idx="805">
                  <c:v>156.69000000000105</c:v>
                </c:pt>
                <c:pt idx="806">
                  <c:v>52.200000000001182</c:v>
                </c:pt>
                <c:pt idx="807">
                  <c:v>257.40000000000089</c:v>
                </c:pt>
                <c:pt idx="808">
                  <c:v>51.220000000001178</c:v>
                </c:pt>
                <c:pt idx="809">
                  <c:v>153.66000000000105</c:v>
                </c:pt>
                <c:pt idx="810">
                  <c:v>100.90000000000113</c:v>
                </c:pt>
                <c:pt idx="811">
                  <c:v>99.880000000001118</c:v>
                </c:pt>
                <c:pt idx="812">
                  <c:v>99.640000000001123</c:v>
                </c:pt>
                <c:pt idx="813">
                  <c:v>49.680000000001186</c:v>
                </c:pt>
                <c:pt idx="814">
                  <c:v>146.64000000000107</c:v>
                </c:pt>
                <c:pt idx="815">
                  <c:v>194.48000000000098</c:v>
                </c:pt>
                <c:pt idx="816">
                  <c:v>241.85000000000093</c:v>
                </c:pt>
                <c:pt idx="817">
                  <c:v>145.02000000000106</c:v>
                </c:pt>
                <c:pt idx="818">
                  <c:v>142.86000000000104</c:v>
                </c:pt>
                <c:pt idx="819">
                  <c:v>189.44000000000099</c:v>
                </c:pt>
                <c:pt idx="820">
                  <c:v>138.99000000000106</c:v>
                </c:pt>
                <c:pt idx="821">
                  <c:v>46.310000000001189</c:v>
                </c:pt>
                <c:pt idx="822">
                  <c:v>185.240000000001</c:v>
                </c:pt>
                <c:pt idx="823">
                  <c:v>45.84000000000119</c:v>
                </c:pt>
                <c:pt idx="824">
                  <c:v>45.820000000001187</c:v>
                </c:pt>
                <c:pt idx="825">
                  <c:v>183.280000000001</c:v>
                </c:pt>
                <c:pt idx="826">
                  <c:v>183.280000000001</c:v>
                </c:pt>
                <c:pt idx="827">
                  <c:v>45.52000000000119</c:v>
                </c:pt>
                <c:pt idx="828">
                  <c:v>135.15000000000106</c:v>
                </c:pt>
                <c:pt idx="829">
                  <c:v>135.15000000000106</c:v>
                </c:pt>
                <c:pt idx="830">
                  <c:v>219.90000000000094</c:v>
                </c:pt>
                <c:pt idx="831">
                  <c:v>218.80000000000095</c:v>
                </c:pt>
                <c:pt idx="832">
                  <c:v>43.730000000001191</c:v>
                </c:pt>
                <c:pt idx="833">
                  <c:v>43.730000000001191</c:v>
                </c:pt>
                <c:pt idx="834">
                  <c:v>131.19000000000108</c:v>
                </c:pt>
                <c:pt idx="835">
                  <c:v>217.50000000000097</c:v>
                </c:pt>
                <c:pt idx="836">
                  <c:v>64.020000000001161</c:v>
                </c:pt>
                <c:pt idx="837">
                  <c:v>216.20000000000098</c:v>
                </c:pt>
                <c:pt idx="838">
                  <c:v>85.980000000001141</c:v>
                </c:pt>
                <c:pt idx="839">
                  <c:v>128.97000000000108</c:v>
                </c:pt>
                <c:pt idx="840">
                  <c:v>128.97000000000108</c:v>
                </c:pt>
                <c:pt idx="841">
                  <c:v>127.41000000000108</c:v>
                </c:pt>
                <c:pt idx="842">
                  <c:v>169.88000000000102</c:v>
                </c:pt>
                <c:pt idx="843">
                  <c:v>84.940000000001135</c:v>
                </c:pt>
                <c:pt idx="844">
                  <c:v>169.88000000000102</c:v>
                </c:pt>
                <c:pt idx="845">
                  <c:v>41.960000000001195</c:v>
                </c:pt>
                <c:pt idx="846">
                  <c:v>165.76000000000101</c:v>
                </c:pt>
                <c:pt idx="847">
                  <c:v>164.76000000000101</c:v>
                </c:pt>
                <c:pt idx="848">
                  <c:v>123.57000000000107</c:v>
                </c:pt>
                <c:pt idx="849">
                  <c:v>205.95000000000095</c:v>
                </c:pt>
                <c:pt idx="850">
                  <c:v>41.180000000001193</c:v>
                </c:pt>
                <c:pt idx="851">
                  <c:v>82.32000000000113</c:v>
                </c:pt>
                <c:pt idx="852">
                  <c:v>82.220000000001136</c:v>
                </c:pt>
                <c:pt idx="853">
                  <c:v>122.79000000000107</c:v>
                </c:pt>
                <c:pt idx="854">
                  <c:v>163.72000000000102</c:v>
                </c:pt>
                <c:pt idx="855">
                  <c:v>122.79000000000107</c:v>
                </c:pt>
                <c:pt idx="856">
                  <c:v>81.860000000001136</c:v>
                </c:pt>
                <c:pt idx="857">
                  <c:v>204.50000000000097</c:v>
                </c:pt>
                <c:pt idx="858">
                  <c:v>200.80000000000098</c:v>
                </c:pt>
                <c:pt idx="859">
                  <c:v>120.2700000000011</c:v>
                </c:pt>
                <c:pt idx="860">
                  <c:v>120.2700000000011</c:v>
                </c:pt>
                <c:pt idx="861">
                  <c:v>160.36000000000104</c:v>
                </c:pt>
                <c:pt idx="862">
                  <c:v>159.60000000000105</c:v>
                </c:pt>
                <c:pt idx="863">
                  <c:v>78.760000000001156</c:v>
                </c:pt>
                <c:pt idx="864">
                  <c:v>118.14000000000111</c:v>
                </c:pt>
                <c:pt idx="865">
                  <c:v>78.760000000001156</c:v>
                </c:pt>
                <c:pt idx="866">
                  <c:v>118.14000000000111</c:v>
                </c:pt>
                <c:pt idx="867">
                  <c:v>39.380000000001203</c:v>
                </c:pt>
                <c:pt idx="868">
                  <c:v>196.900000000001</c:v>
                </c:pt>
                <c:pt idx="869">
                  <c:v>196.80000000000101</c:v>
                </c:pt>
                <c:pt idx="870">
                  <c:v>157.20000000000104</c:v>
                </c:pt>
                <c:pt idx="871">
                  <c:v>196.25000000000099</c:v>
                </c:pt>
                <c:pt idx="872">
                  <c:v>194.35000000000099</c:v>
                </c:pt>
                <c:pt idx="873">
                  <c:v>115.7700000000011</c:v>
                </c:pt>
                <c:pt idx="874">
                  <c:v>191.75000000000099</c:v>
                </c:pt>
                <c:pt idx="875">
                  <c:v>153.40000000000106</c:v>
                </c:pt>
                <c:pt idx="876">
                  <c:v>76.700000000001154</c:v>
                </c:pt>
                <c:pt idx="877">
                  <c:v>76.700000000001154</c:v>
                </c:pt>
                <c:pt idx="878">
                  <c:v>191.75000000000099</c:v>
                </c:pt>
                <c:pt idx="879">
                  <c:v>114.8400000000011</c:v>
                </c:pt>
                <c:pt idx="880">
                  <c:v>152.76000000000104</c:v>
                </c:pt>
                <c:pt idx="881">
                  <c:v>114.30000000000111</c:v>
                </c:pt>
                <c:pt idx="882">
                  <c:v>148.28000000000105</c:v>
                </c:pt>
                <c:pt idx="883">
                  <c:v>73.620000000001156</c:v>
                </c:pt>
                <c:pt idx="884">
                  <c:v>145.16000000000105</c:v>
                </c:pt>
                <c:pt idx="885">
                  <c:v>72.140000000001152</c:v>
                </c:pt>
                <c:pt idx="886">
                  <c:v>180.05000000000101</c:v>
                </c:pt>
                <c:pt idx="887">
                  <c:v>35.780000000001202</c:v>
                </c:pt>
                <c:pt idx="888">
                  <c:v>141.04000000000104</c:v>
                </c:pt>
                <c:pt idx="889">
                  <c:v>70.480000000001155</c:v>
                </c:pt>
                <c:pt idx="890">
                  <c:v>104.8800000000011</c:v>
                </c:pt>
                <c:pt idx="891">
                  <c:v>139.00000000000105</c:v>
                </c:pt>
                <c:pt idx="892">
                  <c:v>173.75000000000102</c:v>
                </c:pt>
                <c:pt idx="893">
                  <c:v>69.500000000001151</c:v>
                </c:pt>
                <c:pt idx="894">
                  <c:v>69.500000000001151</c:v>
                </c:pt>
                <c:pt idx="895">
                  <c:v>69.500000000001151</c:v>
                </c:pt>
                <c:pt idx="896">
                  <c:v>139.00000000000105</c:v>
                </c:pt>
                <c:pt idx="897">
                  <c:v>100.32000000000112</c:v>
                </c:pt>
                <c:pt idx="898">
                  <c:v>66.420000000001167</c:v>
                </c:pt>
                <c:pt idx="899">
                  <c:v>164.35000000000102</c:v>
                </c:pt>
                <c:pt idx="900">
                  <c:v>65.380000000001161</c:v>
                </c:pt>
                <c:pt idx="901">
                  <c:v>65.380000000001161</c:v>
                </c:pt>
                <c:pt idx="902">
                  <c:v>130.00000000000108</c:v>
                </c:pt>
                <c:pt idx="903">
                  <c:v>160.90000000000103</c:v>
                </c:pt>
                <c:pt idx="904">
                  <c:v>96.510000000001128</c:v>
                </c:pt>
                <c:pt idx="905">
                  <c:v>95.760000000001128</c:v>
                </c:pt>
                <c:pt idx="906">
                  <c:v>63.820000000001166</c:v>
                </c:pt>
                <c:pt idx="907">
                  <c:v>154.45000000000104</c:v>
                </c:pt>
                <c:pt idx="908">
                  <c:v>192.060000000001</c:v>
                </c:pt>
                <c:pt idx="909">
                  <c:v>64.020000000001161</c:v>
                </c:pt>
                <c:pt idx="910">
                  <c:v>30.760000000001209</c:v>
                </c:pt>
                <c:pt idx="911">
                  <c:v>151.85000000000105</c:v>
                </c:pt>
                <c:pt idx="912">
                  <c:v>151.80000000000106</c:v>
                </c:pt>
                <c:pt idx="913">
                  <c:v>151.70000000000104</c:v>
                </c:pt>
                <c:pt idx="914">
                  <c:v>217.15000000000097</c:v>
                </c:pt>
                <c:pt idx="915">
                  <c:v>29.600000000001213</c:v>
                </c:pt>
                <c:pt idx="916">
                  <c:v>147.90000000000103</c:v>
                </c:pt>
                <c:pt idx="917">
                  <c:v>88.740000000001132</c:v>
                </c:pt>
                <c:pt idx="918">
                  <c:v>59.160000000001169</c:v>
                </c:pt>
                <c:pt idx="919">
                  <c:v>118.32000000000109</c:v>
                </c:pt>
                <c:pt idx="920">
                  <c:v>147.90000000000103</c:v>
                </c:pt>
                <c:pt idx="921">
                  <c:v>88.740000000001132</c:v>
                </c:pt>
                <c:pt idx="922">
                  <c:v>88.740000000001132</c:v>
                </c:pt>
                <c:pt idx="923">
                  <c:v>147.90000000000103</c:v>
                </c:pt>
                <c:pt idx="924">
                  <c:v>118.32000000000109</c:v>
                </c:pt>
                <c:pt idx="925">
                  <c:v>29.58000000000121</c:v>
                </c:pt>
                <c:pt idx="926">
                  <c:v>145.80000000000106</c:v>
                </c:pt>
                <c:pt idx="927">
                  <c:v>28.290000000001211</c:v>
                </c:pt>
                <c:pt idx="928">
                  <c:v>113.16000000000109</c:v>
                </c:pt>
                <c:pt idx="929">
                  <c:v>28.290000000001211</c:v>
                </c:pt>
                <c:pt idx="930">
                  <c:v>140.00000000000105</c:v>
                </c:pt>
                <c:pt idx="931">
                  <c:v>102.84000000000111</c:v>
                </c:pt>
                <c:pt idx="932">
                  <c:v>25.710000000001216</c:v>
                </c:pt>
                <c:pt idx="933">
                  <c:v>128.55000000000109</c:v>
                </c:pt>
                <c:pt idx="934">
                  <c:v>77.130000000001147</c:v>
                </c:pt>
                <c:pt idx="935">
                  <c:v>25.710000000001216</c:v>
                </c:pt>
                <c:pt idx="936">
                  <c:v>25.560000000001214</c:v>
                </c:pt>
                <c:pt idx="937">
                  <c:v>76.440000000001149</c:v>
                </c:pt>
                <c:pt idx="938">
                  <c:v>25.480000000001215</c:v>
                </c:pt>
                <c:pt idx="939">
                  <c:v>73.890000000001152</c:v>
                </c:pt>
                <c:pt idx="940">
                  <c:v>48.860000000001186</c:v>
                </c:pt>
                <c:pt idx="941">
                  <c:v>115.6000000000011</c:v>
                </c:pt>
                <c:pt idx="942">
                  <c:v>115.25000000000109</c:v>
                </c:pt>
                <c:pt idx="943">
                  <c:v>114.55000000000109</c:v>
                </c:pt>
                <c:pt idx="944">
                  <c:v>68.730000000001169</c:v>
                </c:pt>
                <c:pt idx="945">
                  <c:v>119.44000000000109</c:v>
                </c:pt>
                <c:pt idx="946">
                  <c:v>68.400000000001171</c:v>
                </c:pt>
                <c:pt idx="947">
                  <c:v>45.600000000001188</c:v>
                </c:pt>
                <c:pt idx="948">
                  <c:v>45.600000000001188</c:v>
                </c:pt>
                <c:pt idx="949">
                  <c:v>22.800000000001219</c:v>
                </c:pt>
                <c:pt idx="950">
                  <c:v>91.200000000001125</c:v>
                </c:pt>
                <c:pt idx="951">
                  <c:v>91.200000000001125</c:v>
                </c:pt>
                <c:pt idx="952">
                  <c:v>22.800000000001219</c:v>
                </c:pt>
                <c:pt idx="953">
                  <c:v>68.400000000001171</c:v>
                </c:pt>
                <c:pt idx="954">
                  <c:v>22.800000000001219</c:v>
                </c:pt>
                <c:pt idx="955">
                  <c:v>111.00000000000111</c:v>
                </c:pt>
                <c:pt idx="956">
                  <c:v>21.850000000001224</c:v>
                </c:pt>
                <c:pt idx="957">
                  <c:v>108.00000000000111</c:v>
                </c:pt>
                <c:pt idx="958">
                  <c:v>20.570000000001222</c:v>
                </c:pt>
                <c:pt idx="959">
                  <c:v>82.280000000001138</c:v>
                </c:pt>
                <c:pt idx="960">
                  <c:v>40.680000000001193</c:v>
                </c:pt>
                <c:pt idx="961">
                  <c:v>20.050000000001223</c:v>
                </c:pt>
                <c:pt idx="962">
                  <c:v>75.480000000001155</c:v>
                </c:pt>
                <c:pt idx="963">
                  <c:v>92.650000000001128</c:v>
                </c:pt>
                <c:pt idx="964">
                  <c:v>69.000000000001165</c:v>
                </c:pt>
                <c:pt idx="965">
                  <c:v>34.300000000001205</c:v>
                </c:pt>
                <c:pt idx="966">
                  <c:v>83.650000000001143</c:v>
                </c:pt>
                <c:pt idx="967">
                  <c:v>49.230000000001191</c:v>
                </c:pt>
                <c:pt idx="968">
                  <c:v>49.050000000001191</c:v>
                </c:pt>
                <c:pt idx="969">
                  <c:v>46.260000000001185</c:v>
                </c:pt>
                <c:pt idx="970">
                  <c:v>28.780000000001213</c:v>
                </c:pt>
                <c:pt idx="971">
                  <c:v>66.500000000001165</c:v>
                </c:pt>
                <c:pt idx="972">
                  <c:v>38.6100000000012</c:v>
                </c:pt>
                <c:pt idx="973">
                  <c:v>64.200000000001168</c:v>
                </c:pt>
                <c:pt idx="974">
                  <c:v>63.700000000001168</c:v>
                </c:pt>
                <c:pt idx="975">
                  <c:v>62.350000000001167</c:v>
                </c:pt>
                <c:pt idx="976">
                  <c:v>62.350000000001167</c:v>
                </c:pt>
                <c:pt idx="977">
                  <c:v>57.800000000001177</c:v>
                </c:pt>
                <c:pt idx="978">
                  <c:v>55.100000000001174</c:v>
                </c:pt>
                <c:pt idx="979">
                  <c:v>10.810000000001237</c:v>
                </c:pt>
                <c:pt idx="980">
                  <c:v>41.240000000001196</c:v>
                </c:pt>
                <c:pt idx="981">
                  <c:v>27.810000000001214</c:v>
                </c:pt>
                <c:pt idx="982">
                  <c:v>9.2400000000012383</c:v>
                </c:pt>
                <c:pt idx="983">
                  <c:v>18.460000000001227</c:v>
                </c:pt>
                <c:pt idx="984">
                  <c:v>42.450000000001197</c:v>
                </c:pt>
                <c:pt idx="985">
                  <c:v>23.250000000001219</c:v>
                </c:pt>
                <c:pt idx="986">
                  <c:v>7.7200000000012396</c:v>
                </c:pt>
                <c:pt idx="987">
                  <c:v>7.7200000000012396</c:v>
                </c:pt>
                <c:pt idx="988">
                  <c:v>15.40000000000123</c:v>
                </c:pt>
                <c:pt idx="989">
                  <c:v>23.10000000000122</c:v>
                </c:pt>
                <c:pt idx="990">
                  <c:v>30.800000000001209</c:v>
                </c:pt>
                <c:pt idx="991">
                  <c:v>16.360000000001229</c:v>
                </c:pt>
                <c:pt idx="992">
                  <c:v>11.520000000001234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E7-4F38-A1E5-3DEF8AC619D9}"/>
            </c:ext>
          </c:extLst>
        </c:ser>
        <c:ser>
          <c:idx val="1"/>
          <c:order val="1"/>
          <c:tx>
            <c:v>y = x (reference Line)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Forecasting!$G$18:$G$19</c:f>
              <c:numCache>
                <c:formatCode>General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xVal>
          <c:yVal>
            <c:numRef>
              <c:f>Forecasting!$H$18:$H$19</c:f>
              <c:numCache>
                <c:formatCode>General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E7-4F38-A1E5-3DEF8AC61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2944992"/>
        <c:axId val="1752941632"/>
      </c:scatterChart>
      <c:valAx>
        <c:axId val="1752944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Actual Total Purchase</a:t>
                </a:r>
              </a:p>
            </c:rich>
          </c:tx>
          <c:layout>
            <c:manualLayout>
              <c:xMode val="edge"/>
              <c:yMode val="edge"/>
              <c:x val="0.42658554044380814"/>
              <c:y val="0.870897781612914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2941632"/>
        <c:crosses val="autoZero"/>
        <c:crossBetween val="midCat"/>
      </c:valAx>
      <c:valAx>
        <c:axId val="175294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Predicted Total Purchase</a:t>
                </a:r>
              </a:p>
            </c:rich>
          </c:tx>
          <c:layout>
            <c:manualLayout>
              <c:xMode val="edge"/>
              <c:yMode val="edge"/>
              <c:x val="3.1897926634768738E-2"/>
              <c:y val="0.212117115497549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2944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</xdr:colOff>
      <xdr:row>1</xdr:row>
      <xdr:rowOff>180975</xdr:rowOff>
    </xdr:from>
    <xdr:to>
      <xdr:col>16</xdr:col>
      <xdr:colOff>0</xdr:colOff>
      <xdr:row>16</xdr:row>
      <xdr:rowOff>180974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E117F473-95D4-42CD-8279-85E31DA96A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0</xdr:row>
      <xdr:rowOff>19050</xdr:rowOff>
    </xdr:from>
    <xdr:to>
      <xdr:col>6</xdr:col>
      <xdr:colOff>523874</xdr:colOff>
      <xdr:row>10</xdr:row>
      <xdr:rowOff>104775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57345969-26D9-7521-73AC-F80BD65693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590549</xdr:colOff>
      <xdr:row>0</xdr:row>
      <xdr:rowOff>19050</xdr:rowOff>
    </xdr:from>
    <xdr:to>
      <xdr:col>13</xdr:col>
      <xdr:colOff>504824</xdr:colOff>
      <xdr:row>10</xdr:row>
      <xdr:rowOff>85725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76693937-F4B1-BBFF-AF7A-3E03605E9F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295274</xdr:colOff>
      <xdr:row>162</xdr:row>
      <xdr:rowOff>47625</xdr:rowOff>
    </xdr:from>
    <xdr:to>
      <xdr:col>14</xdr:col>
      <xdr:colOff>266699</xdr:colOff>
      <xdr:row>179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937FB8-1D04-9208-4BCE-AD7FA1174E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561975</xdr:colOff>
      <xdr:row>0</xdr:row>
      <xdr:rowOff>0</xdr:rowOff>
    </xdr:from>
    <xdr:to>
      <xdr:col>20</xdr:col>
      <xdr:colOff>314326</xdr:colOff>
      <xdr:row>10</xdr:row>
      <xdr:rowOff>95250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D086EC2-0464-4A3F-81F5-7E6D8A127E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38099</xdr:colOff>
      <xdr:row>10</xdr:row>
      <xdr:rowOff>152399</xdr:rowOff>
    </xdr:from>
    <xdr:to>
      <xdr:col>6</xdr:col>
      <xdr:colOff>523874</xdr:colOff>
      <xdr:row>22</xdr:row>
      <xdr:rowOff>9524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42BD30C-1D3A-4A8F-8959-F8C0BBEAF6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581025</xdr:colOff>
      <xdr:row>10</xdr:row>
      <xdr:rowOff>123825</xdr:rowOff>
    </xdr:from>
    <xdr:to>
      <xdr:col>13</xdr:col>
      <xdr:colOff>495300</xdr:colOff>
      <xdr:row>22</xdr:row>
      <xdr:rowOff>19050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C1733C7-FF29-401D-8E79-730E485C4A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542925</xdr:colOff>
      <xdr:row>10</xdr:row>
      <xdr:rowOff>133350</xdr:rowOff>
    </xdr:from>
    <xdr:to>
      <xdr:col>20</xdr:col>
      <xdr:colOff>323850</xdr:colOff>
      <xdr:row>21</xdr:row>
      <xdr:rowOff>180975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FA3A57B-F246-4A81-A96B-B2EF03688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DIT TOMY" refreshedDate="45838.826976388889" createdVersion="8" refreshedVersion="8" minRefreshableVersion="3" recordCount="993" xr:uid="{E3173609-E6FF-4224-9691-B1A5444EFF84}">
  <cacheSource type="worksheet">
    <worksheetSource name="SalesData"/>
  </cacheSource>
  <cacheFields count="11">
    <cacheField name="Date" numFmtId="14">
      <sharedItems containsSemiMixedTypes="0" containsNonDate="0" containsDate="1" containsString="0" minDate="2019-11-01T00:00:00" maxDate="2019-11-16T00:00:00" count="15">
        <d v="2019-11-07T00:00:00"/>
        <d v="2019-11-06T00:00:00"/>
        <d v="2019-11-11T00:00:00"/>
        <d v="2019-11-03T00:00:00"/>
        <d v="2019-11-01T00:00:00"/>
        <d v="2019-11-04T00:00:00"/>
        <d v="2019-11-15T00:00:00"/>
        <d v="2019-11-10T00:00:00"/>
        <d v="2019-11-09T00:00:00"/>
        <d v="2019-11-13T00:00:00"/>
        <d v="2019-11-02T00:00:00"/>
        <d v="2019-11-12T00:00:00"/>
        <d v="2019-11-14T00:00:00"/>
        <d v="2019-11-05T00:00:00"/>
        <d v="2019-11-08T00:00:00"/>
      </sharedItems>
    </cacheField>
    <cacheField name="EventType" numFmtId="0">
      <sharedItems/>
    </cacheField>
    <cacheField name="Product" numFmtId="0">
      <sharedItems containsSemiMixedTypes="0" containsString="0" containsNumber="1" containsInteger="1" minValue="1002524" maxValue="53700000"/>
    </cacheField>
    <cacheField name="Category" numFmtId="0">
      <sharedItems/>
    </cacheField>
    <cacheField name="Brand" numFmtId="0">
      <sharedItems/>
    </cacheField>
    <cacheField name="Price" numFmtId="0">
      <sharedItems containsSemiMixedTypes="0" containsString="0" containsNumber="1" minValue="3.84" maxValue="2011.63"/>
    </cacheField>
    <cacheField name="CustomerID" numFmtId="0">
      <sharedItems containsSemiMixedTypes="0" containsString="0" containsNumber="1" containsInteger="1" minValue="486999716" maxValue="566304925"/>
    </cacheField>
    <cacheField name="Quantity" numFmtId="0">
      <sharedItems containsSemiMixedTypes="0" containsString="0" containsNumber="1" containsInteger="1" minValue="1" maxValue="5"/>
    </cacheField>
    <cacheField name="TotalPurchase" numFmtId="0">
      <sharedItems containsSemiMixedTypes="0" containsString="0" containsNumber="1" minValue="7.72" maxValue="9303.4500000000007"/>
    </cacheField>
    <cacheField name="PriceRange" numFmtId="0">
      <sharedItems/>
    </cacheField>
    <cacheField name="MainCategory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3">
  <r>
    <x v="0"/>
    <s v="purchase"/>
    <n v="1005136"/>
    <s v="electronics.smartphone"/>
    <s v="apple"/>
    <n v="2011.63"/>
    <n v="513990971"/>
    <n v="4"/>
    <n v="8046.52"/>
    <s v="High"/>
    <s v="electronics"/>
  </r>
  <r>
    <x v="1"/>
    <s v="purchase"/>
    <n v="1801700"/>
    <s v="electronics.video.tv"/>
    <s v="sony"/>
    <n v="1860.69"/>
    <n v="513070340"/>
    <n v="5"/>
    <n v="9303.4500000000007"/>
    <s v="High"/>
    <s v="electronics"/>
  </r>
  <r>
    <x v="2"/>
    <s v="purchase"/>
    <n v="1005135"/>
    <s v="electronics.smartphone"/>
    <s v="apple"/>
    <n v="1665.36"/>
    <n v="530717866"/>
    <n v="3"/>
    <n v="4996.08"/>
    <s v="High"/>
    <s v="electronics"/>
  </r>
  <r>
    <x v="3"/>
    <s v="purchase"/>
    <n v="1005135"/>
    <s v="electronics.smartphone"/>
    <s v="apple"/>
    <n v="1665.36"/>
    <n v="530717866"/>
    <n v="1"/>
    <n v="1665.36"/>
    <s v="High"/>
    <s v="electronics"/>
  </r>
  <r>
    <x v="4"/>
    <s v="purchase"/>
    <n v="1005135"/>
    <s v="electronics.smartphone"/>
    <s v="apple"/>
    <n v="1665.36"/>
    <n v="542210844"/>
    <n v="5"/>
    <n v="8326.7999999999993"/>
    <s v="High"/>
    <s v="electronics"/>
  </r>
  <r>
    <x v="5"/>
    <s v="purchase"/>
    <n v="1005135"/>
    <s v="electronics.smartphone"/>
    <s v="apple"/>
    <n v="1665.36"/>
    <n v="546129282"/>
    <n v="1"/>
    <n v="1665.36"/>
    <s v="High"/>
    <s v="electronics"/>
  </r>
  <r>
    <x v="6"/>
    <s v="purchase"/>
    <n v="1005135"/>
    <s v="electronics.smartphone"/>
    <s v="apple"/>
    <n v="1665.36"/>
    <n v="513074641"/>
    <n v="4"/>
    <n v="6661.44"/>
    <s v="High"/>
    <s v="electronics"/>
  </r>
  <r>
    <x v="7"/>
    <s v="purchase"/>
    <n v="1005124"/>
    <s v="electronics.smartphone"/>
    <s v="apple"/>
    <n v="1583.48"/>
    <n v="562210838"/>
    <n v="5"/>
    <n v="7917.4"/>
    <s v="High"/>
    <s v="electronics"/>
  </r>
  <r>
    <x v="0"/>
    <s v="purchase"/>
    <n v="1005124"/>
    <s v="electronics.smartphone"/>
    <s v="apple"/>
    <n v="1583.48"/>
    <n v="513880835"/>
    <n v="3"/>
    <n v="4750.4400000000005"/>
    <s v="High"/>
    <s v="electronics"/>
  </r>
  <r>
    <x v="6"/>
    <s v="purchase"/>
    <n v="1307466"/>
    <s v="computers.notebook"/>
    <s v="msi"/>
    <n v="1549.07"/>
    <n v="513455270"/>
    <n v="5"/>
    <n v="7745.3499999999995"/>
    <s v="High"/>
    <s v="computers"/>
  </r>
  <r>
    <x v="8"/>
    <s v="purchase"/>
    <n v="1005140"/>
    <s v="electronics.smartphone"/>
    <s v="apple"/>
    <n v="1455.57"/>
    <n v="541133409"/>
    <n v="5"/>
    <n v="7277.8499999999995"/>
    <s v="Medium"/>
    <s v="electronics"/>
  </r>
  <r>
    <x v="5"/>
    <s v="purchase"/>
    <n v="9600042"/>
    <s v="Other"/>
    <s v="dji"/>
    <n v="1527.68"/>
    <n v="554847297"/>
    <n v="2"/>
    <n v="3055.36"/>
    <s v="High"/>
    <s v="Other"/>
  </r>
  <r>
    <x v="3"/>
    <s v="purchase"/>
    <n v="1005140"/>
    <s v="electronics.smartphone"/>
    <s v="apple"/>
    <n v="1455.57"/>
    <n v="541133409"/>
    <n v="4"/>
    <n v="5822.28"/>
    <s v="Medium"/>
    <s v="electronics"/>
  </r>
  <r>
    <x v="9"/>
    <s v="purchase"/>
    <n v="1005105"/>
    <s v="electronics.smartphone"/>
    <s v="apple"/>
    <n v="1348.61"/>
    <n v="518840496"/>
    <n v="1"/>
    <n v="1348.61"/>
    <s v="Medium"/>
    <s v="electronics"/>
  </r>
  <r>
    <x v="7"/>
    <s v="purchase"/>
    <n v="1005105"/>
    <s v="electronics.smartphone"/>
    <s v="apple"/>
    <n v="1348.61"/>
    <n v="566285050"/>
    <n v="1"/>
    <n v="1348.61"/>
    <s v="Medium"/>
    <s v="electronics"/>
  </r>
  <r>
    <x v="3"/>
    <s v="purchase"/>
    <n v="1005105"/>
    <s v="electronics.smartphone"/>
    <s v="apple"/>
    <n v="1348.61"/>
    <n v="536267449"/>
    <n v="5"/>
    <n v="6743.0499999999993"/>
    <s v="Medium"/>
    <s v="electronics"/>
  </r>
  <r>
    <x v="10"/>
    <s v="purchase"/>
    <n v="1005105"/>
    <s v="electronics.smartphone"/>
    <s v="apple"/>
    <n v="1348.61"/>
    <n v="515750054"/>
    <n v="2"/>
    <n v="2697.22"/>
    <s v="Medium"/>
    <s v="electronics"/>
  </r>
  <r>
    <x v="11"/>
    <s v="purchase"/>
    <n v="1005105"/>
    <s v="electronics.smartphone"/>
    <s v="apple"/>
    <n v="1348.61"/>
    <n v="518166789"/>
    <n v="4"/>
    <n v="5394.44"/>
    <s v="Medium"/>
    <s v="electronics"/>
  </r>
  <r>
    <x v="9"/>
    <s v="purchase"/>
    <n v="1005105"/>
    <s v="electronics.smartphone"/>
    <s v="apple"/>
    <n v="1348.61"/>
    <n v="547557724"/>
    <n v="5"/>
    <n v="6743.0499999999993"/>
    <s v="Medium"/>
    <s v="electronics"/>
  </r>
  <r>
    <x v="7"/>
    <s v="purchase"/>
    <n v="1005105"/>
    <s v="electronics.smartphone"/>
    <s v="apple"/>
    <n v="1348.61"/>
    <n v="529536413"/>
    <n v="2"/>
    <n v="2697.22"/>
    <s v="Medium"/>
    <s v="electronics"/>
  </r>
  <r>
    <x v="3"/>
    <s v="purchase"/>
    <n v="1005105"/>
    <s v="electronics.smartphone"/>
    <s v="apple"/>
    <n v="1348.61"/>
    <n v="566293095"/>
    <n v="4"/>
    <n v="5394.44"/>
    <s v="Medium"/>
    <s v="electronics"/>
  </r>
  <r>
    <x v="12"/>
    <s v="purchase"/>
    <n v="1005105"/>
    <s v="electronics.smartphone"/>
    <s v="apple"/>
    <n v="1348.61"/>
    <n v="515534826"/>
    <n v="5"/>
    <n v="6743.0499999999993"/>
    <s v="Medium"/>
    <s v="electronics"/>
  </r>
  <r>
    <x v="1"/>
    <s v="purchase"/>
    <n v="1005105"/>
    <s v="electronics.smartphone"/>
    <s v="apple"/>
    <n v="1348.61"/>
    <n v="540541755"/>
    <n v="5"/>
    <n v="6743.0499999999993"/>
    <s v="Medium"/>
    <s v="electronics"/>
  </r>
  <r>
    <x v="10"/>
    <s v="purchase"/>
    <n v="1005105"/>
    <s v="electronics.smartphone"/>
    <s v="apple"/>
    <n v="1348.61"/>
    <n v="544988848"/>
    <n v="4"/>
    <n v="5394.44"/>
    <s v="Medium"/>
    <s v="electronics"/>
  </r>
  <r>
    <x v="13"/>
    <s v="purchase"/>
    <n v="1005105"/>
    <s v="electronics.smartphone"/>
    <s v="apple"/>
    <n v="1348.61"/>
    <n v="564994036"/>
    <n v="4"/>
    <n v="5394.44"/>
    <s v="Medium"/>
    <s v="electronics"/>
  </r>
  <r>
    <x v="7"/>
    <s v="purchase"/>
    <n v="1005129"/>
    <s v="electronics.smartphone"/>
    <s v="apple"/>
    <n v="1337.23"/>
    <n v="518267348"/>
    <n v="4"/>
    <n v="5348.92"/>
    <s v="Medium"/>
    <s v="electronics"/>
  </r>
  <r>
    <x v="9"/>
    <s v="purchase"/>
    <n v="1005129"/>
    <s v="electronics.smartphone"/>
    <s v="apple"/>
    <n v="1337.23"/>
    <n v="551066396"/>
    <n v="5"/>
    <n v="6686.15"/>
    <s v="Medium"/>
    <s v="electronics"/>
  </r>
  <r>
    <x v="9"/>
    <s v="purchase"/>
    <n v="1005117"/>
    <s v="electronics.smartphone"/>
    <s v="apple"/>
    <n v="1182.3699999999999"/>
    <n v="513117637"/>
    <n v="4"/>
    <n v="4729.4799999999996"/>
    <s v="Medium"/>
    <s v="electronics"/>
  </r>
  <r>
    <x v="4"/>
    <s v="purchase"/>
    <n v="9600117"/>
    <s v="Other"/>
    <s v="dji"/>
    <n v="1281.96"/>
    <n v="554847297"/>
    <n v="2"/>
    <n v="2563.92"/>
    <s v="Medium"/>
    <s v="Other"/>
  </r>
  <r>
    <x v="0"/>
    <s v="purchase"/>
    <n v="1201405"/>
    <s v="electronics.tablet"/>
    <s v="apple"/>
    <n v="1106.5899999999999"/>
    <n v="527067703"/>
    <n v="5"/>
    <n v="5532.95"/>
    <s v="Medium"/>
    <s v="electronics"/>
  </r>
  <r>
    <x v="0"/>
    <s v="purchase"/>
    <n v="2702542"/>
    <s v="appliances.kitchen.refrigerators"/>
    <s v="Other"/>
    <n v="1147.26"/>
    <n v="565645275"/>
    <n v="2"/>
    <n v="2294.52"/>
    <s v="Medium"/>
    <s v="appliances"/>
  </r>
  <r>
    <x v="9"/>
    <s v="purchase"/>
    <n v="1005122"/>
    <s v="electronics.smartphone"/>
    <s v="apple"/>
    <n v="1027.5899999999999"/>
    <n v="537741482"/>
    <n v="2"/>
    <n v="2055.1799999999998"/>
    <s v="Medium"/>
    <s v="electronics"/>
  </r>
  <r>
    <x v="0"/>
    <s v="purchase"/>
    <n v="1005107"/>
    <s v="electronics.smartphone"/>
    <s v="apple"/>
    <n v="1027.44"/>
    <n v="530588589"/>
    <n v="4"/>
    <n v="4109.76"/>
    <s v="Medium"/>
    <s v="electronics"/>
  </r>
  <r>
    <x v="2"/>
    <s v="purchase"/>
    <n v="1005116"/>
    <s v="electronics.smartphone"/>
    <s v="apple"/>
    <n v="1013.86"/>
    <n v="516316320"/>
    <n v="4"/>
    <n v="4055.44"/>
    <s v="Medium"/>
    <s v="electronics"/>
  </r>
  <r>
    <x v="9"/>
    <s v="purchase"/>
    <n v="1005116"/>
    <s v="electronics.smartphone"/>
    <s v="apple"/>
    <n v="1013.86"/>
    <n v="537741482"/>
    <n v="3"/>
    <n v="3041.58"/>
    <s v="Medium"/>
    <s v="electronics"/>
  </r>
  <r>
    <x v="14"/>
    <s v="purchase"/>
    <n v="1005116"/>
    <s v="electronics.smartphone"/>
    <s v="apple"/>
    <n v="1013.86"/>
    <n v="549043010"/>
    <n v="4"/>
    <n v="4055.44"/>
    <s v="Medium"/>
    <s v="electronics"/>
  </r>
  <r>
    <x v="5"/>
    <s v="purchase"/>
    <n v="1005116"/>
    <s v="electronics.smartphone"/>
    <s v="apple"/>
    <n v="1013.86"/>
    <n v="512576824"/>
    <n v="4"/>
    <n v="4055.44"/>
    <s v="Medium"/>
    <s v="electronics"/>
  </r>
  <r>
    <x v="1"/>
    <s v="purchase"/>
    <n v="1005116"/>
    <s v="electronics.smartphone"/>
    <s v="apple"/>
    <n v="1013.86"/>
    <n v="566302451"/>
    <n v="3"/>
    <n v="3041.58"/>
    <s v="Medium"/>
    <s v="electronics"/>
  </r>
  <r>
    <x v="11"/>
    <s v="purchase"/>
    <n v="1005112"/>
    <s v="electronics.smartphone"/>
    <s v="apple"/>
    <n v="1003.63"/>
    <n v="551678170"/>
    <n v="3"/>
    <n v="3010.89"/>
    <s v="Medium"/>
    <s v="electronics"/>
  </r>
  <r>
    <x v="0"/>
    <s v="purchase"/>
    <n v="1005104"/>
    <s v="electronics.smartphone"/>
    <s v="apple"/>
    <n v="977.3"/>
    <n v="564195480"/>
    <n v="4"/>
    <n v="3909.2"/>
    <s v="Medium"/>
    <s v="electronics"/>
  </r>
  <r>
    <x v="11"/>
    <s v="purchase"/>
    <n v="1005104"/>
    <s v="electronics.smartphone"/>
    <s v="apple"/>
    <n v="977.3"/>
    <n v="564195480"/>
    <n v="5"/>
    <n v="4886.5"/>
    <s v="Medium"/>
    <s v="electronics"/>
  </r>
  <r>
    <x v="3"/>
    <s v="purchase"/>
    <n v="1005104"/>
    <s v="electronics.smartphone"/>
    <s v="apple"/>
    <n v="977.3"/>
    <n v="529852051"/>
    <n v="3"/>
    <n v="2931.8999999999996"/>
    <s v="Medium"/>
    <s v="electronics"/>
  </r>
  <r>
    <x v="12"/>
    <s v="purchase"/>
    <n v="1307307"/>
    <s v="computers.notebook"/>
    <s v="hp"/>
    <n v="980.46"/>
    <n v="529786619"/>
    <n v="4"/>
    <n v="3921.84"/>
    <s v="Medium"/>
    <s v="computers"/>
  </r>
  <r>
    <x v="14"/>
    <s v="purchase"/>
    <n v="1480207"/>
    <s v="computers.desktop"/>
    <s v="lenovo"/>
    <n v="977.89"/>
    <n v="558698483"/>
    <n v="1"/>
    <n v="977.89"/>
    <s v="Medium"/>
    <s v="computers"/>
  </r>
  <r>
    <x v="9"/>
    <s v="purchase"/>
    <n v="1005118"/>
    <s v="electronics.smartphone"/>
    <s v="apple"/>
    <n v="976.82"/>
    <n v="564195480"/>
    <n v="5"/>
    <n v="4884.1000000000004"/>
    <s v="Medium"/>
    <s v="electronics"/>
  </r>
  <r>
    <x v="13"/>
    <s v="purchase"/>
    <n v="1005121"/>
    <s v="electronics.smartphone"/>
    <s v="apple"/>
    <n v="973.41"/>
    <n v="550527531"/>
    <n v="1"/>
    <n v="973.41"/>
    <s v="Medium"/>
    <s v="electronics"/>
  </r>
  <r>
    <x v="11"/>
    <s v="purchase"/>
    <n v="1005121"/>
    <s v="electronics.smartphone"/>
    <s v="apple"/>
    <n v="973.41"/>
    <n v="560902341"/>
    <n v="1"/>
    <n v="973.41"/>
    <s v="Medium"/>
    <s v="electronics"/>
  </r>
  <r>
    <x v="1"/>
    <s v="purchase"/>
    <n v="1005115"/>
    <s v="electronics.smartphone"/>
    <s v="apple"/>
    <n v="949.47"/>
    <n v="515851023"/>
    <n v="5"/>
    <n v="4747.3500000000004"/>
    <s v="Medium"/>
    <s v="electronics"/>
  </r>
  <r>
    <x v="3"/>
    <s v="purchase"/>
    <n v="1005115"/>
    <s v="electronics.smartphone"/>
    <s v="apple"/>
    <n v="949.47"/>
    <n v="566286947"/>
    <n v="1"/>
    <n v="949.47"/>
    <s v="Medium"/>
    <s v="electronics"/>
  </r>
  <r>
    <x v="13"/>
    <s v="purchase"/>
    <n v="1005115"/>
    <s v="electronics.smartphone"/>
    <s v="apple"/>
    <n v="949.47"/>
    <n v="515750054"/>
    <n v="3"/>
    <n v="2848.41"/>
    <s v="Medium"/>
    <s v="electronics"/>
  </r>
  <r>
    <x v="6"/>
    <s v="purchase"/>
    <n v="1004897"/>
    <s v="electronics.smartphone"/>
    <s v="huawei"/>
    <n v="952.15"/>
    <n v="540510262"/>
    <n v="3"/>
    <n v="2856.45"/>
    <s v="Medium"/>
    <s v="electronics"/>
  </r>
  <r>
    <x v="10"/>
    <s v="purchase"/>
    <n v="1005115"/>
    <s v="electronics.smartphone"/>
    <s v="apple"/>
    <n v="949.47"/>
    <n v="547438875"/>
    <n v="2"/>
    <n v="1898.94"/>
    <s v="Medium"/>
    <s v="electronics"/>
  </r>
  <r>
    <x v="5"/>
    <s v="purchase"/>
    <n v="1005115"/>
    <s v="electronics.smartphone"/>
    <s v="apple"/>
    <n v="949.47"/>
    <n v="525144465"/>
    <n v="4"/>
    <n v="3797.88"/>
    <s v="Medium"/>
    <s v="electronics"/>
  </r>
  <r>
    <x v="6"/>
    <s v="purchase"/>
    <n v="1005115"/>
    <s v="electronics.smartphone"/>
    <s v="apple"/>
    <n v="949.47"/>
    <n v="561062956"/>
    <n v="5"/>
    <n v="4747.3500000000004"/>
    <s v="Medium"/>
    <s v="electronics"/>
  </r>
  <r>
    <x v="4"/>
    <s v="purchase"/>
    <n v="1005115"/>
    <s v="electronics.smartphone"/>
    <s v="apple"/>
    <n v="949.47"/>
    <n v="539927976"/>
    <n v="2"/>
    <n v="1898.94"/>
    <s v="Medium"/>
    <s v="electronics"/>
  </r>
  <r>
    <x v="13"/>
    <s v="purchase"/>
    <n v="1005115"/>
    <s v="electronics.smartphone"/>
    <s v="apple"/>
    <n v="949.47"/>
    <n v="556688434"/>
    <n v="1"/>
    <n v="949.47"/>
    <s v="Medium"/>
    <s v="electronics"/>
  </r>
  <r>
    <x v="1"/>
    <s v="purchase"/>
    <n v="1005115"/>
    <s v="electronics.smartphone"/>
    <s v="apple"/>
    <n v="949.47"/>
    <n v="564133858"/>
    <n v="2"/>
    <n v="1898.94"/>
    <s v="Medium"/>
    <s v="electronics"/>
  </r>
  <r>
    <x v="6"/>
    <s v="purchase"/>
    <n v="1005115"/>
    <s v="electronics.smartphone"/>
    <s v="apple"/>
    <n v="949.47"/>
    <n v="548865098"/>
    <n v="4"/>
    <n v="3797.88"/>
    <s v="Medium"/>
    <s v="electronics"/>
  </r>
  <r>
    <x v="4"/>
    <s v="purchase"/>
    <n v="1005115"/>
    <s v="electronics.smartphone"/>
    <s v="apple"/>
    <n v="949.47"/>
    <n v="560902341"/>
    <n v="3"/>
    <n v="2848.41"/>
    <s v="Medium"/>
    <s v="electronics"/>
  </r>
  <r>
    <x v="6"/>
    <s v="purchase"/>
    <n v="1005115"/>
    <s v="electronics.smartphone"/>
    <s v="apple"/>
    <n v="949.47"/>
    <n v="513239433"/>
    <n v="3"/>
    <n v="2848.41"/>
    <s v="Medium"/>
    <s v="electronics"/>
  </r>
  <r>
    <x v="0"/>
    <s v="purchase"/>
    <n v="1005115"/>
    <s v="electronics.smartphone"/>
    <s v="apple"/>
    <n v="949.47"/>
    <n v="546076557"/>
    <n v="5"/>
    <n v="4747.3500000000004"/>
    <s v="Medium"/>
    <s v="electronics"/>
  </r>
  <r>
    <x v="5"/>
    <s v="purchase"/>
    <n v="1005115"/>
    <s v="electronics.smartphone"/>
    <s v="apple"/>
    <n v="949.47"/>
    <n v="518747313"/>
    <n v="3"/>
    <n v="2848.41"/>
    <s v="Medium"/>
    <s v="electronics"/>
  </r>
  <r>
    <x v="10"/>
    <s v="purchase"/>
    <n v="1005115"/>
    <s v="electronics.smartphone"/>
    <s v="apple"/>
    <n v="949.47"/>
    <n v="535175624"/>
    <n v="1"/>
    <n v="949.47"/>
    <s v="Medium"/>
    <s v="electronics"/>
  </r>
  <r>
    <x v="8"/>
    <s v="purchase"/>
    <n v="1005115"/>
    <s v="electronics.smartphone"/>
    <s v="apple"/>
    <n v="949.47"/>
    <n v="531560347"/>
    <n v="5"/>
    <n v="4747.3500000000004"/>
    <s v="Medium"/>
    <s v="electronics"/>
  </r>
  <r>
    <x v="1"/>
    <s v="purchase"/>
    <n v="1005115"/>
    <s v="electronics.smartphone"/>
    <s v="apple"/>
    <n v="949.47"/>
    <n v="565348737"/>
    <n v="5"/>
    <n v="4747.3500000000004"/>
    <s v="Medium"/>
    <s v="electronics"/>
  </r>
  <r>
    <x v="4"/>
    <s v="purchase"/>
    <n v="1005115"/>
    <s v="electronics.smartphone"/>
    <s v="apple"/>
    <n v="949.47"/>
    <n v="515412653"/>
    <n v="5"/>
    <n v="4747.3500000000004"/>
    <s v="Medium"/>
    <s v="electronics"/>
  </r>
  <r>
    <x v="12"/>
    <s v="purchase"/>
    <n v="1005115"/>
    <s v="electronics.smartphone"/>
    <s v="apple"/>
    <n v="949.47"/>
    <n v="547712096"/>
    <n v="4"/>
    <n v="3797.88"/>
    <s v="Medium"/>
    <s v="electronics"/>
  </r>
  <r>
    <x v="8"/>
    <s v="purchase"/>
    <n v="1005115"/>
    <s v="electronics.smartphone"/>
    <s v="apple"/>
    <n v="949.47"/>
    <n v="525904178"/>
    <n v="5"/>
    <n v="4747.3500000000004"/>
    <s v="Medium"/>
    <s v="electronics"/>
  </r>
  <r>
    <x v="14"/>
    <s v="purchase"/>
    <n v="1005115"/>
    <s v="electronics.smartphone"/>
    <s v="apple"/>
    <n v="949.47"/>
    <n v="520028649"/>
    <n v="4"/>
    <n v="3797.88"/>
    <s v="Medium"/>
    <s v="electronics"/>
  </r>
  <r>
    <x v="4"/>
    <s v="purchase"/>
    <n v="1005115"/>
    <s v="electronics.smartphone"/>
    <s v="apple"/>
    <n v="949.47"/>
    <n v="533365442"/>
    <n v="3"/>
    <n v="2848.41"/>
    <s v="Medium"/>
    <s v="electronics"/>
  </r>
  <r>
    <x v="3"/>
    <s v="purchase"/>
    <n v="1005115"/>
    <s v="electronics.smartphone"/>
    <s v="apple"/>
    <n v="949.47"/>
    <n v="537803994"/>
    <n v="5"/>
    <n v="4747.3500000000004"/>
    <s v="Medium"/>
    <s v="electronics"/>
  </r>
  <r>
    <x v="11"/>
    <s v="purchase"/>
    <n v="1005115"/>
    <s v="electronics.smartphone"/>
    <s v="apple"/>
    <n v="949.47"/>
    <n v="515380503"/>
    <n v="4"/>
    <n v="3797.88"/>
    <s v="Medium"/>
    <s v="electronics"/>
  </r>
  <r>
    <x v="3"/>
    <s v="purchase"/>
    <n v="1005115"/>
    <s v="electronics.smartphone"/>
    <s v="apple"/>
    <n v="949.47"/>
    <n v="566145046"/>
    <n v="1"/>
    <n v="949.47"/>
    <s v="Medium"/>
    <s v="electronics"/>
  </r>
  <r>
    <x v="4"/>
    <s v="purchase"/>
    <n v="1005115"/>
    <s v="electronics.smartphone"/>
    <s v="apple"/>
    <n v="949.47"/>
    <n v="541372782"/>
    <n v="3"/>
    <n v="2848.41"/>
    <s v="Medium"/>
    <s v="electronics"/>
  </r>
  <r>
    <x v="8"/>
    <s v="purchase"/>
    <n v="1005115"/>
    <s v="electronics.smartphone"/>
    <s v="apple"/>
    <n v="949.47"/>
    <n v="525191289"/>
    <n v="4"/>
    <n v="3797.88"/>
    <s v="Medium"/>
    <s v="electronics"/>
  </r>
  <r>
    <x v="14"/>
    <s v="purchase"/>
    <n v="1005115"/>
    <s v="electronics.smartphone"/>
    <s v="apple"/>
    <n v="949.47"/>
    <n v="538781131"/>
    <n v="3"/>
    <n v="2848.41"/>
    <s v="Medium"/>
    <s v="electronics"/>
  </r>
  <r>
    <x v="9"/>
    <s v="purchase"/>
    <n v="1003316"/>
    <s v="electronics.smartphone"/>
    <s v="apple"/>
    <n v="928.38"/>
    <n v="566094996"/>
    <n v="3"/>
    <n v="2785.14"/>
    <s v="Medium"/>
    <s v="electronics"/>
  </r>
  <r>
    <x v="1"/>
    <s v="purchase"/>
    <n v="1003317"/>
    <s v="electronics.smartphone"/>
    <s v="apple"/>
    <n v="928.18"/>
    <n v="537012398"/>
    <n v="5"/>
    <n v="4640.8999999999996"/>
    <s v="Medium"/>
    <s v="electronics"/>
  </r>
  <r>
    <x v="8"/>
    <s v="purchase"/>
    <n v="1003317"/>
    <s v="electronics.smartphone"/>
    <s v="apple"/>
    <n v="928.18"/>
    <n v="530382924"/>
    <n v="3"/>
    <n v="2784.54"/>
    <s v="Medium"/>
    <s v="electronics"/>
  </r>
  <r>
    <x v="7"/>
    <s v="purchase"/>
    <n v="1003317"/>
    <s v="electronics.smartphone"/>
    <s v="apple"/>
    <n v="928.18"/>
    <n v="518956507"/>
    <n v="5"/>
    <n v="4640.8999999999996"/>
    <s v="Medium"/>
    <s v="electronics"/>
  </r>
  <r>
    <x v="2"/>
    <s v="purchase"/>
    <n v="1003309"/>
    <s v="electronics.smartphone"/>
    <s v="apple"/>
    <n v="823.16"/>
    <n v="542414491"/>
    <n v="5"/>
    <n v="4115.8"/>
    <s v="Medium"/>
    <s v="electronics"/>
  </r>
  <r>
    <x v="10"/>
    <s v="purchase"/>
    <n v="1004253"/>
    <s v="electronics.smartphone"/>
    <s v="apple"/>
    <n v="776.08"/>
    <n v="522717744"/>
    <n v="3"/>
    <n v="2328.2400000000002"/>
    <s v="Medium"/>
    <s v="electronics"/>
  </r>
  <r>
    <x v="10"/>
    <s v="purchase"/>
    <n v="1004246"/>
    <s v="electronics.smartphone"/>
    <s v="apple"/>
    <n v="749.67"/>
    <n v="562783832"/>
    <n v="4"/>
    <n v="2998.68"/>
    <s v="Medium"/>
    <s v="electronics"/>
  </r>
  <r>
    <x v="5"/>
    <s v="purchase"/>
    <n v="1004246"/>
    <s v="electronics.smartphone"/>
    <s v="apple"/>
    <n v="749.67"/>
    <n v="521734903"/>
    <n v="3"/>
    <n v="2249.0099999999998"/>
    <s v="Medium"/>
    <s v="electronics"/>
  </r>
  <r>
    <x v="14"/>
    <s v="purchase"/>
    <n v="1004246"/>
    <s v="electronics.smartphone"/>
    <s v="apple"/>
    <n v="749.67"/>
    <n v="562783832"/>
    <n v="2"/>
    <n v="1499.34"/>
    <s v="Medium"/>
    <s v="electronics"/>
  </r>
  <r>
    <x v="13"/>
    <s v="purchase"/>
    <n v="1004258"/>
    <s v="electronics.smartphone"/>
    <s v="apple"/>
    <n v="732.07"/>
    <n v="514450085"/>
    <n v="5"/>
    <n v="3660.3500000000004"/>
    <s v="Medium"/>
    <s v="electronics"/>
  </r>
  <r>
    <x v="3"/>
    <s v="purchase"/>
    <n v="1307187"/>
    <s v="computers.notebook"/>
    <s v="acer"/>
    <n v="888.03"/>
    <n v="513373830"/>
    <n v="3"/>
    <n v="2664.09"/>
    <s v="Medium"/>
    <s v="computers"/>
  </r>
  <r>
    <x v="0"/>
    <s v="purchase"/>
    <n v="1480494"/>
    <s v="computers.desktop"/>
    <s v="acer"/>
    <n v="874.93"/>
    <n v="558698483"/>
    <n v="5"/>
    <n v="4374.6499999999996"/>
    <s v="Medium"/>
    <s v="computers"/>
  </r>
  <r>
    <x v="8"/>
    <s v="purchase"/>
    <n v="1004258"/>
    <s v="electronics.smartphone"/>
    <s v="apple"/>
    <n v="732.07"/>
    <n v="512583935"/>
    <n v="3"/>
    <n v="2196.21"/>
    <s v="Medium"/>
    <s v="electronics"/>
  </r>
  <r>
    <x v="6"/>
    <s v="purchase"/>
    <n v="15100238"/>
    <s v="Other"/>
    <s v="Other"/>
    <n v="818.19"/>
    <n v="555228198"/>
    <n v="4"/>
    <n v="3272.76"/>
    <s v="Medium"/>
    <s v="Other"/>
  </r>
  <r>
    <x v="3"/>
    <s v="purchase"/>
    <n v="1004258"/>
    <s v="electronics.smartphone"/>
    <s v="apple"/>
    <n v="732.07"/>
    <n v="566303051"/>
    <n v="4"/>
    <n v="2928.28"/>
    <s v="Medium"/>
    <s v="electronics"/>
  </r>
  <r>
    <x v="14"/>
    <s v="purchase"/>
    <n v="1480557"/>
    <s v="computers.desktop"/>
    <s v="netechnics"/>
    <n v="772.19"/>
    <n v="555942729"/>
    <n v="2"/>
    <n v="1544.38"/>
    <s v="Medium"/>
    <s v="computers"/>
  </r>
  <r>
    <x v="7"/>
    <s v="purchase"/>
    <n v="9600012"/>
    <s v="Other"/>
    <s v="dji"/>
    <n v="771.96"/>
    <n v="554847297"/>
    <n v="5"/>
    <n v="3859.8"/>
    <s v="Medium"/>
    <s v="Other"/>
  </r>
  <r>
    <x v="4"/>
    <s v="purchase"/>
    <n v="1004258"/>
    <s v="electronics.smartphone"/>
    <s v="apple"/>
    <n v="732.07"/>
    <n v="520086731"/>
    <n v="3"/>
    <n v="2196.21"/>
    <s v="Medium"/>
    <s v="electronics"/>
  </r>
  <r>
    <x v="13"/>
    <s v="purchase"/>
    <n v="8500094"/>
    <s v="Other"/>
    <s v="bosch"/>
    <n v="757.7"/>
    <n v="515089842"/>
    <n v="1"/>
    <n v="757.7"/>
    <s v="Medium"/>
    <s v="Other"/>
  </r>
  <r>
    <x v="2"/>
    <s v="purchase"/>
    <n v="1307074"/>
    <s v="computers.notebook"/>
    <s v="acer"/>
    <n v="751.27"/>
    <n v="558698483"/>
    <n v="2"/>
    <n v="1502.54"/>
    <s v="Medium"/>
    <s v="computers"/>
  </r>
  <r>
    <x v="6"/>
    <s v="purchase"/>
    <n v="1307074"/>
    <s v="computers.notebook"/>
    <s v="acer"/>
    <n v="751.27"/>
    <n v="558698483"/>
    <n v="2"/>
    <n v="1502.54"/>
    <s v="Medium"/>
    <s v="computers"/>
  </r>
  <r>
    <x v="2"/>
    <s v="purchase"/>
    <n v="1004249"/>
    <s v="electronics.smartphone"/>
    <s v="apple"/>
    <n v="722.4"/>
    <n v="562783832"/>
    <n v="3"/>
    <n v="2167.1999999999998"/>
    <s v="Medium"/>
    <s v="electronics"/>
  </r>
  <r>
    <x v="8"/>
    <s v="purchase"/>
    <n v="1004249"/>
    <s v="electronics.smartphone"/>
    <s v="apple"/>
    <n v="722.4"/>
    <n v="515884433"/>
    <n v="2"/>
    <n v="1444.8"/>
    <s v="Medium"/>
    <s v="electronics"/>
  </r>
  <r>
    <x v="5"/>
    <s v="purchase"/>
    <n v="1004249"/>
    <s v="electronics.smartphone"/>
    <s v="apple"/>
    <n v="722.4"/>
    <n v="540806097"/>
    <n v="4"/>
    <n v="2889.6"/>
    <s v="Medium"/>
    <s v="electronics"/>
  </r>
  <r>
    <x v="12"/>
    <s v="purchase"/>
    <n v="1004249"/>
    <s v="electronics.smartphone"/>
    <s v="apple"/>
    <n v="722.4"/>
    <n v="513667800"/>
    <n v="2"/>
    <n v="1444.8"/>
    <s v="Medium"/>
    <s v="electronics"/>
  </r>
  <r>
    <x v="8"/>
    <s v="purchase"/>
    <n v="1004249"/>
    <s v="electronics.smartphone"/>
    <s v="apple"/>
    <n v="722.4"/>
    <n v="542836905"/>
    <n v="3"/>
    <n v="2167.1999999999998"/>
    <s v="Medium"/>
    <s v="electronics"/>
  </r>
  <r>
    <x v="4"/>
    <s v="purchase"/>
    <n v="1004249"/>
    <s v="electronics.smartphone"/>
    <s v="apple"/>
    <n v="722.4"/>
    <n v="563226983"/>
    <n v="4"/>
    <n v="2889.6"/>
    <s v="Medium"/>
    <s v="electronics"/>
  </r>
  <r>
    <x v="10"/>
    <s v="purchase"/>
    <n v="1004249"/>
    <s v="electronics.smartphone"/>
    <s v="apple"/>
    <n v="722.4"/>
    <n v="518618772"/>
    <n v="5"/>
    <n v="3612"/>
    <s v="Medium"/>
    <s v="electronics"/>
  </r>
  <r>
    <x v="6"/>
    <s v="purchase"/>
    <n v="1004249"/>
    <s v="electronics.smartphone"/>
    <s v="apple"/>
    <n v="722.4"/>
    <n v="514862645"/>
    <n v="1"/>
    <n v="722.4"/>
    <s v="Medium"/>
    <s v="electronics"/>
  </r>
  <r>
    <x v="9"/>
    <s v="purchase"/>
    <n v="1004249"/>
    <s v="electronics.smartphone"/>
    <s v="apple"/>
    <n v="722.4"/>
    <n v="530382924"/>
    <n v="4"/>
    <n v="2889.6"/>
    <s v="Medium"/>
    <s v="electronics"/>
  </r>
  <r>
    <x v="13"/>
    <s v="purchase"/>
    <n v="1004249"/>
    <s v="electronics.smartphone"/>
    <s v="apple"/>
    <n v="722.4"/>
    <n v="550864895"/>
    <n v="3"/>
    <n v="2167.1999999999998"/>
    <s v="Medium"/>
    <s v="electronics"/>
  </r>
  <r>
    <x v="9"/>
    <s v="purchase"/>
    <n v="1004249"/>
    <s v="electronics.smartphone"/>
    <s v="apple"/>
    <n v="722.4"/>
    <n v="562119164"/>
    <n v="5"/>
    <n v="3612"/>
    <s v="Medium"/>
    <s v="electronics"/>
  </r>
  <r>
    <x v="12"/>
    <s v="purchase"/>
    <n v="1004249"/>
    <s v="electronics.smartphone"/>
    <s v="apple"/>
    <n v="722.4"/>
    <n v="533365442"/>
    <n v="1"/>
    <n v="722.4"/>
    <s v="Medium"/>
    <s v="electronics"/>
  </r>
  <r>
    <x v="2"/>
    <s v="purchase"/>
    <n v="1004249"/>
    <s v="electronics.smartphone"/>
    <s v="apple"/>
    <n v="722.4"/>
    <n v="520097057"/>
    <n v="2"/>
    <n v="1444.8"/>
    <s v="Medium"/>
    <s v="electronics"/>
  </r>
  <r>
    <x v="5"/>
    <s v="purchase"/>
    <n v="1004249"/>
    <s v="electronics.smartphone"/>
    <s v="apple"/>
    <n v="722.4"/>
    <n v="519468511"/>
    <n v="1"/>
    <n v="722.4"/>
    <s v="Medium"/>
    <s v="electronics"/>
  </r>
  <r>
    <x v="2"/>
    <s v="purchase"/>
    <n v="1004249"/>
    <s v="electronics.smartphone"/>
    <s v="apple"/>
    <n v="722.4"/>
    <n v="531160085"/>
    <n v="4"/>
    <n v="2889.6"/>
    <s v="Medium"/>
    <s v="electronics"/>
  </r>
  <r>
    <x v="3"/>
    <s v="purchase"/>
    <n v="1004249"/>
    <s v="electronics.smartphone"/>
    <s v="apple"/>
    <n v="722.4"/>
    <n v="519468511"/>
    <n v="4"/>
    <n v="2889.6"/>
    <s v="Medium"/>
    <s v="electronics"/>
  </r>
  <r>
    <x v="11"/>
    <s v="purchase"/>
    <n v="1004249"/>
    <s v="electronics.smartphone"/>
    <s v="apple"/>
    <n v="722.4"/>
    <n v="548422139"/>
    <n v="1"/>
    <n v="722.4"/>
    <s v="Medium"/>
    <s v="electronics"/>
  </r>
  <r>
    <x v="14"/>
    <s v="purchase"/>
    <n v="1004249"/>
    <s v="electronics.smartphone"/>
    <s v="apple"/>
    <n v="722.4"/>
    <n v="518618224"/>
    <n v="5"/>
    <n v="3612"/>
    <s v="Medium"/>
    <s v="electronics"/>
  </r>
  <r>
    <x v="8"/>
    <s v="purchase"/>
    <n v="1003304"/>
    <s v="electronics.smartphone"/>
    <s v="apple"/>
    <n v="591.25"/>
    <n v="566297736"/>
    <n v="2"/>
    <n v="1182.5"/>
    <s v="Medium"/>
    <s v="electronics"/>
  </r>
  <r>
    <x v="2"/>
    <s v="purchase"/>
    <n v="1003304"/>
    <s v="electronics.smartphone"/>
    <s v="apple"/>
    <n v="591.25"/>
    <n v="565366577"/>
    <n v="4"/>
    <n v="2365"/>
    <s v="Medium"/>
    <s v="electronics"/>
  </r>
  <r>
    <x v="3"/>
    <s v="purchase"/>
    <n v="1003306"/>
    <s v="electronics.smartphone"/>
    <s v="apple"/>
    <n v="577.89"/>
    <n v="514020126"/>
    <n v="5"/>
    <n v="2889.45"/>
    <s v="Medium"/>
    <s v="electronics"/>
  </r>
  <r>
    <x v="1"/>
    <s v="purchase"/>
    <n v="1003306"/>
    <s v="electronics.smartphone"/>
    <s v="apple"/>
    <n v="577.89"/>
    <n v="512452645"/>
    <n v="1"/>
    <n v="577.89"/>
    <s v="Medium"/>
    <s v="electronics"/>
  </r>
  <r>
    <x v="3"/>
    <s v="purchase"/>
    <n v="1003306"/>
    <s v="electronics.smartphone"/>
    <s v="apple"/>
    <n v="577.89"/>
    <n v="554982396"/>
    <n v="5"/>
    <n v="2889.45"/>
    <s v="Medium"/>
    <s v="electronics"/>
  </r>
  <r>
    <x v="14"/>
    <s v="purchase"/>
    <n v="1003306"/>
    <s v="electronics.smartphone"/>
    <s v="apple"/>
    <n v="577.89"/>
    <n v="512907720"/>
    <n v="1"/>
    <n v="577.89"/>
    <s v="Medium"/>
    <s v="electronics"/>
  </r>
  <r>
    <x v="11"/>
    <s v="purchase"/>
    <n v="1003306"/>
    <s v="electronics.smartphone"/>
    <s v="apple"/>
    <n v="577.89"/>
    <n v="536034247"/>
    <n v="2"/>
    <n v="1155.78"/>
    <s v="Medium"/>
    <s v="electronics"/>
  </r>
  <r>
    <x v="3"/>
    <s v="purchase"/>
    <n v="1003306"/>
    <s v="electronics.smartphone"/>
    <s v="apple"/>
    <n v="577.89"/>
    <n v="533365442"/>
    <n v="4"/>
    <n v="2311.56"/>
    <s v="Medium"/>
    <s v="electronics"/>
  </r>
  <r>
    <x v="14"/>
    <s v="purchase"/>
    <n v="1002536"/>
    <s v="electronics.smartphone"/>
    <s v="apple"/>
    <n v="566.04"/>
    <n v="556564018"/>
    <n v="1"/>
    <n v="566.04"/>
    <s v="Medium"/>
    <s v="electronics"/>
  </r>
  <r>
    <x v="4"/>
    <s v="purchase"/>
    <n v="1002532"/>
    <s v="electronics.smartphone"/>
    <s v="apple"/>
    <n v="532.57000000000005"/>
    <n v="566281998"/>
    <n v="5"/>
    <n v="2662.8500000000004"/>
    <s v="Medium"/>
    <s v="electronics"/>
  </r>
  <r>
    <x v="4"/>
    <s v="purchase"/>
    <n v="8500142"/>
    <s v="Other"/>
    <s v="navien"/>
    <n v="709.93"/>
    <n v="558705860"/>
    <n v="4"/>
    <n v="2839.72"/>
    <s v="Medium"/>
    <s v="Other"/>
  </r>
  <r>
    <x v="2"/>
    <s v="purchase"/>
    <n v="8500142"/>
    <s v="Other"/>
    <s v="navien"/>
    <n v="709.93"/>
    <n v="558705860"/>
    <n v="2"/>
    <n v="1419.86"/>
    <s v="Medium"/>
    <s v="Other"/>
  </r>
  <r>
    <x v="2"/>
    <s v="purchase"/>
    <n v="26300188"/>
    <s v="Other"/>
    <s v="lucente"/>
    <n v="709.67"/>
    <n v="561157770"/>
    <n v="5"/>
    <n v="3548.35"/>
    <s v="Medium"/>
    <s v="Other"/>
  </r>
  <r>
    <x v="7"/>
    <s v="purchase"/>
    <n v="1307073"/>
    <s v="computers.notebook"/>
    <s v="acer"/>
    <n v="682.09"/>
    <n v="558698483"/>
    <n v="5"/>
    <n v="3410.4500000000003"/>
    <s v="Medium"/>
    <s v="computers"/>
  </r>
  <r>
    <x v="8"/>
    <s v="purchase"/>
    <n v="1002532"/>
    <s v="electronics.smartphone"/>
    <s v="apple"/>
    <n v="532.57000000000005"/>
    <n v="565437026"/>
    <n v="3"/>
    <n v="1597.71"/>
    <s v="Medium"/>
    <s v="electronics"/>
  </r>
  <r>
    <x v="12"/>
    <s v="purchase"/>
    <n v="26300104"/>
    <s v="Other"/>
    <s v="lucente"/>
    <n v="642.23"/>
    <n v="559835882"/>
    <n v="1"/>
    <n v="642.23"/>
    <s v="Medium"/>
    <s v="Other"/>
  </r>
  <r>
    <x v="1"/>
    <s v="purchase"/>
    <n v="1002524"/>
    <s v="electronics.smartphone"/>
    <s v="apple"/>
    <n v="531.26"/>
    <n v="549256216"/>
    <n v="5"/>
    <n v="2656.3"/>
    <s v="Medium"/>
    <s v="electronics"/>
  </r>
  <r>
    <x v="14"/>
    <s v="purchase"/>
    <n v="1002524"/>
    <s v="electronics.smartphone"/>
    <s v="apple"/>
    <n v="531.26"/>
    <n v="518277746"/>
    <n v="3"/>
    <n v="1593.78"/>
    <s v="Medium"/>
    <s v="electronics"/>
  </r>
  <r>
    <x v="8"/>
    <s v="purchase"/>
    <n v="1002524"/>
    <s v="electronics.smartphone"/>
    <s v="apple"/>
    <n v="531.26"/>
    <n v="566301357"/>
    <n v="3"/>
    <n v="1593.78"/>
    <s v="Medium"/>
    <s v="electronics"/>
  </r>
  <r>
    <x v="13"/>
    <s v="purchase"/>
    <n v="1002524"/>
    <s v="electronics.smartphone"/>
    <s v="apple"/>
    <n v="531.26"/>
    <n v="538524222"/>
    <n v="4"/>
    <n v="2125.04"/>
    <s v="Medium"/>
    <s v="electronics"/>
  </r>
  <r>
    <x v="3"/>
    <s v="purchase"/>
    <n v="1002540"/>
    <s v="electronics.smartphone"/>
    <s v="apple"/>
    <n v="465.91"/>
    <n v="556325945"/>
    <n v="4"/>
    <n v="1863.64"/>
    <s v="Low"/>
    <s v="electronics"/>
  </r>
  <r>
    <x v="9"/>
    <s v="purchase"/>
    <n v="1002547"/>
    <s v="electronics.smartphone"/>
    <s v="apple"/>
    <n v="465.91"/>
    <n v="565437026"/>
    <n v="4"/>
    <n v="1863.64"/>
    <s v="Low"/>
    <s v="electronics"/>
  </r>
  <r>
    <x v="11"/>
    <s v="purchase"/>
    <n v="1002544"/>
    <s v="electronics.smartphone"/>
    <s v="apple"/>
    <n v="458.28"/>
    <n v="557994805"/>
    <n v="1"/>
    <n v="458.28"/>
    <s v="Low"/>
    <s v="electronics"/>
  </r>
  <r>
    <x v="8"/>
    <s v="purchase"/>
    <n v="1002544"/>
    <s v="electronics.smartphone"/>
    <s v="apple"/>
    <n v="458.28"/>
    <n v="513155877"/>
    <n v="3"/>
    <n v="1374.84"/>
    <s v="Low"/>
    <s v="electronics"/>
  </r>
  <r>
    <x v="0"/>
    <s v="purchase"/>
    <n v="1002544"/>
    <s v="electronics.smartphone"/>
    <s v="apple"/>
    <n v="458.28"/>
    <n v="515114346"/>
    <n v="4"/>
    <n v="1833.12"/>
    <s v="Low"/>
    <s v="electronics"/>
  </r>
  <r>
    <x v="13"/>
    <s v="purchase"/>
    <n v="1002544"/>
    <s v="electronics.smartphone"/>
    <s v="apple"/>
    <n v="458.28"/>
    <n v="543264125"/>
    <n v="4"/>
    <n v="1833.12"/>
    <s v="Low"/>
    <s v="electronics"/>
  </r>
  <r>
    <x v="9"/>
    <s v="purchase"/>
    <n v="8500140"/>
    <s v="Other"/>
    <s v="navien"/>
    <n v="576.08000000000004"/>
    <n v="558705860"/>
    <n v="2"/>
    <n v="1152.1600000000001"/>
    <s v="Medium"/>
    <s v="Other"/>
  </r>
  <r>
    <x v="3"/>
    <s v="purchase"/>
    <n v="13200605"/>
    <s v="furniture.bedroom.bed"/>
    <s v="Other"/>
    <n v="566.29999999999995"/>
    <n v="559368633"/>
    <n v="3"/>
    <n v="1698.8999999999999"/>
    <s v="Medium"/>
    <s v="furniture"/>
  </r>
  <r>
    <x v="7"/>
    <s v="purchase"/>
    <n v="1002544"/>
    <s v="electronics.smartphone"/>
    <s v="apple"/>
    <n v="458.28"/>
    <n v="523893477"/>
    <n v="4"/>
    <n v="1833.12"/>
    <s v="Low"/>
    <s v="electronics"/>
  </r>
  <r>
    <x v="3"/>
    <s v="purchase"/>
    <n v="3601472"/>
    <s v="appliances.kitchen.washer"/>
    <s v="lg"/>
    <n v="540.51"/>
    <n v="515085187"/>
    <n v="5"/>
    <n v="2702.55"/>
    <s v="Medium"/>
    <s v="appliances"/>
  </r>
  <r>
    <x v="3"/>
    <s v="purchase"/>
    <n v="1002544"/>
    <s v="electronics.smartphone"/>
    <s v="apple"/>
    <n v="458.28"/>
    <n v="544134586"/>
    <n v="2"/>
    <n v="916.56"/>
    <s v="Low"/>
    <s v="electronics"/>
  </r>
  <r>
    <x v="10"/>
    <s v="purchase"/>
    <n v="1002544"/>
    <s v="electronics.smartphone"/>
    <s v="apple"/>
    <n v="458.28"/>
    <n v="547627972"/>
    <n v="2"/>
    <n v="916.56"/>
    <s v="Low"/>
    <s v="electronics"/>
  </r>
  <r>
    <x v="3"/>
    <s v="purchase"/>
    <n v="1002544"/>
    <s v="electronics.smartphone"/>
    <s v="apple"/>
    <n v="458.28"/>
    <n v="514684465"/>
    <n v="4"/>
    <n v="1833.12"/>
    <s v="Low"/>
    <s v="electronics"/>
  </r>
  <r>
    <x v="7"/>
    <s v="purchase"/>
    <n v="1002544"/>
    <s v="electronics.smartphone"/>
    <s v="apple"/>
    <n v="458.28"/>
    <n v="559736722"/>
    <n v="4"/>
    <n v="1833.12"/>
    <s v="Low"/>
    <s v="electronics"/>
  </r>
  <r>
    <x v="4"/>
    <s v="purchase"/>
    <n v="1002544"/>
    <s v="electronics.smartphone"/>
    <s v="apple"/>
    <n v="458.28"/>
    <n v="546076557"/>
    <n v="1"/>
    <n v="458.28"/>
    <s v="Low"/>
    <s v="electronics"/>
  </r>
  <r>
    <x v="11"/>
    <s v="purchase"/>
    <n v="1002544"/>
    <s v="electronics.smartphone"/>
    <s v="apple"/>
    <n v="458.28"/>
    <n v="564493861"/>
    <n v="4"/>
    <n v="1833.12"/>
    <s v="Low"/>
    <s v="electronics"/>
  </r>
  <r>
    <x v="12"/>
    <s v="purchase"/>
    <n v="1480707"/>
    <s v="computers.desktop"/>
    <s v="pulser"/>
    <n v="525.08000000000004"/>
    <n v="566282818"/>
    <n v="4"/>
    <n v="2100.3200000000002"/>
    <s v="Medium"/>
    <s v="computers"/>
  </r>
  <r>
    <x v="7"/>
    <s v="purchase"/>
    <n v="2701697"/>
    <s v="appliances.kitchen.refrigerators"/>
    <s v="bosch"/>
    <n v="520.57000000000005"/>
    <n v="514217834"/>
    <n v="2"/>
    <n v="1041.1400000000001"/>
    <s v="Medium"/>
    <s v="appliances"/>
  </r>
  <r>
    <x v="7"/>
    <s v="purchase"/>
    <n v="11800033"/>
    <s v="Other"/>
    <s v="sony"/>
    <n v="514.79"/>
    <n v="513590675"/>
    <n v="5"/>
    <n v="2573.9499999999998"/>
    <s v="Medium"/>
    <s v="Other"/>
  </r>
  <r>
    <x v="4"/>
    <s v="purchase"/>
    <n v="1701111"/>
    <s v="computers.peripherals.monitor"/>
    <s v="acer"/>
    <n v="514.79"/>
    <n v="537182679"/>
    <n v="2"/>
    <n v="1029.58"/>
    <s v="Medium"/>
    <s v="computers"/>
  </r>
  <r>
    <x v="14"/>
    <s v="purchase"/>
    <n v="4100277"/>
    <s v="Other"/>
    <s v="sony"/>
    <n v="511.96"/>
    <n v="552005062"/>
    <n v="5"/>
    <n v="2559.7999999999997"/>
    <s v="Medium"/>
    <s v="Other"/>
  </r>
  <r>
    <x v="5"/>
    <s v="purchase"/>
    <n v="26300084"/>
    <s v="Other"/>
    <s v="lucente"/>
    <n v="510.18"/>
    <n v="522379836"/>
    <n v="3"/>
    <n v="1530.54"/>
    <s v="Medium"/>
    <s v="Other"/>
  </r>
  <r>
    <x v="12"/>
    <s v="purchase"/>
    <n v="1002544"/>
    <s v="electronics.smartphone"/>
    <s v="apple"/>
    <n v="458.28"/>
    <n v="533712528"/>
    <n v="5"/>
    <n v="2291.3999999999996"/>
    <s v="Low"/>
    <s v="electronics"/>
  </r>
  <r>
    <x v="11"/>
    <s v="purchase"/>
    <n v="1002544"/>
    <s v="electronics.smartphone"/>
    <s v="apple"/>
    <n v="458.28"/>
    <n v="529661706"/>
    <n v="3"/>
    <n v="1374.84"/>
    <s v="Low"/>
    <s v="electronics"/>
  </r>
  <r>
    <x v="4"/>
    <s v="purchase"/>
    <n v="1002544"/>
    <s v="electronics.smartphone"/>
    <s v="apple"/>
    <n v="458.28"/>
    <n v="534867232"/>
    <n v="4"/>
    <n v="1833.12"/>
    <s v="Low"/>
    <s v="electronics"/>
  </r>
  <r>
    <x v="10"/>
    <s v="purchase"/>
    <n v="1002544"/>
    <s v="electronics.smartphone"/>
    <s v="apple"/>
    <n v="458.28"/>
    <n v="565331688"/>
    <n v="1"/>
    <n v="458.28"/>
    <s v="Low"/>
    <s v="electronics"/>
  </r>
  <r>
    <x v="14"/>
    <s v="purchase"/>
    <n v="1002544"/>
    <s v="electronics.smartphone"/>
    <s v="apple"/>
    <n v="458.28"/>
    <n v="566303303"/>
    <n v="1"/>
    <n v="458.28"/>
    <s v="Low"/>
    <s v="electronics"/>
  </r>
  <r>
    <x v="10"/>
    <s v="purchase"/>
    <n v="1002544"/>
    <s v="electronics.smartphone"/>
    <s v="apple"/>
    <n v="458.28"/>
    <n v="538669191"/>
    <n v="5"/>
    <n v="2291.3999999999996"/>
    <s v="Low"/>
    <s v="electronics"/>
  </r>
  <r>
    <x v="12"/>
    <s v="purchase"/>
    <n v="1002544"/>
    <s v="electronics.smartphone"/>
    <s v="apple"/>
    <n v="458.28"/>
    <n v="523759066"/>
    <n v="2"/>
    <n v="916.56"/>
    <s v="Low"/>
    <s v="electronics"/>
  </r>
  <r>
    <x v="13"/>
    <s v="purchase"/>
    <n v="5100567"/>
    <s v="electronics.clocks"/>
    <s v="apple"/>
    <n v="457.13"/>
    <n v="552654469"/>
    <n v="5"/>
    <n v="2285.65"/>
    <s v="Low"/>
    <s v="electronics"/>
  </r>
  <r>
    <x v="4"/>
    <s v="purchase"/>
    <n v="5100566"/>
    <s v="electronics.clocks"/>
    <s v="apple"/>
    <n v="453.16"/>
    <n v="512476567"/>
    <n v="3"/>
    <n v="1359.48"/>
    <s v="Low"/>
    <s v="electronics"/>
  </r>
  <r>
    <x v="5"/>
    <s v="purchase"/>
    <n v="5100570"/>
    <s v="electronics.clocks"/>
    <s v="apple"/>
    <n v="447.6"/>
    <n v="512894714"/>
    <n v="1"/>
    <n v="447.6"/>
    <s v="Low"/>
    <s v="electronics"/>
  </r>
  <r>
    <x v="9"/>
    <s v="purchase"/>
    <n v="1201566"/>
    <s v="electronics.tablet"/>
    <s v="apple"/>
    <n v="437.31"/>
    <n v="516977445"/>
    <n v="1"/>
    <n v="437.31"/>
    <s v="Low"/>
    <s v="electronics"/>
  </r>
  <r>
    <x v="7"/>
    <s v="purchase"/>
    <n v="1201292"/>
    <s v="electronics.tablet"/>
    <s v="apple"/>
    <n v="411.54"/>
    <n v="518026730"/>
    <n v="5"/>
    <n v="2057.7000000000003"/>
    <s v="Low"/>
    <s v="electronics"/>
  </r>
  <r>
    <x v="13"/>
    <s v="purchase"/>
    <n v="1002629"/>
    <s v="electronics.smartphone"/>
    <s v="apple"/>
    <n v="358.31"/>
    <n v="566289907"/>
    <n v="2"/>
    <n v="716.62"/>
    <s v="Low"/>
    <s v="electronics"/>
  </r>
  <r>
    <x v="7"/>
    <s v="purchase"/>
    <n v="1002629"/>
    <s v="electronics.smartphone"/>
    <s v="apple"/>
    <n v="358.31"/>
    <n v="518913698"/>
    <n v="4"/>
    <n v="1433.24"/>
    <s v="Low"/>
    <s v="electronics"/>
  </r>
  <r>
    <x v="11"/>
    <s v="purchase"/>
    <n v="1801551"/>
    <s v="electronics.video.tv"/>
    <s v="haier"/>
    <n v="463.31"/>
    <n v="515521256"/>
    <n v="5"/>
    <n v="2316.5500000000002"/>
    <s v="Low"/>
    <s v="electronics"/>
  </r>
  <r>
    <x v="10"/>
    <s v="purchase"/>
    <n v="2601811"/>
    <s v="Other"/>
    <s v="dauscher"/>
    <n v="463.31"/>
    <n v="552942046"/>
    <n v="5"/>
    <n v="2316.5500000000002"/>
    <s v="Low"/>
    <s v="Other"/>
  </r>
  <r>
    <x v="8"/>
    <s v="purchase"/>
    <n v="1005235"/>
    <s v="electronics.smartphone"/>
    <s v="oppo"/>
    <n v="463.28"/>
    <n v="537466008"/>
    <n v="1"/>
    <n v="463.28"/>
    <s v="Low"/>
    <s v="electronics"/>
  </r>
  <r>
    <x v="2"/>
    <s v="purchase"/>
    <n v="1005235"/>
    <s v="electronics.smartphone"/>
    <s v="oppo"/>
    <n v="463.28"/>
    <n v="537466008"/>
    <n v="4"/>
    <n v="1853.12"/>
    <s v="Low"/>
    <s v="electronics"/>
  </r>
  <r>
    <x v="3"/>
    <s v="purchase"/>
    <n v="1005235"/>
    <s v="electronics.smartphone"/>
    <s v="oppo"/>
    <n v="463.28"/>
    <n v="537466008"/>
    <n v="1"/>
    <n v="463.28"/>
    <s v="Low"/>
    <s v="electronics"/>
  </r>
  <r>
    <x v="10"/>
    <s v="purchase"/>
    <n v="2702277"/>
    <s v="appliances.kitchen.refrigerators"/>
    <s v="lg"/>
    <n v="463.07"/>
    <n v="537734147"/>
    <n v="3"/>
    <n v="1389.21"/>
    <s v="Low"/>
    <s v="appliances"/>
  </r>
  <r>
    <x v="4"/>
    <s v="purchase"/>
    <n v="4100129"/>
    <s v="Other"/>
    <s v="sony"/>
    <n v="462.79"/>
    <n v="516426931"/>
    <n v="1"/>
    <n v="462.79"/>
    <s v="Low"/>
    <s v="Other"/>
  </r>
  <r>
    <x v="4"/>
    <s v="purchase"/>
    <n v="2601891"/>
    <s v="Other"/>
    <s v="gorenje"/>
    <n v="460.7"/>
    <n v="546995205"/>
    <n v="4"/>
    <n v="1842.8"/>
    <s v="Low"/>
    <s v="Other"/>
  </r>
  <r>
    <x v="4"/>
    <s v="purchase"/>
    <n v="2601891"/>
    <s v="Other"/>
    <s v="gorenje"/>
    <n v="460.7"/>
    <n v="566302002"/>
    <n v="1"/>
    <n v="460.7"/>
    <s v="Low"/>
    <s v="Other"/>
  </r>
  <r>
    <x v="7"/>
    <s v="purchase"/>
    <n v="1002629"/>
    <s v="electronics.smartphone"/>
    <s v="apple"/>
    <n v="358.31"/>
    <n v="523893477"/>
    <n v="2"/>
    <n v="716.62"/>
    <s v="Low"/>
    <s v="electronics"/>
  </r>
  <r>
    <x v="13"/>
    <s v="purchase"/>
    <n v="1801555"/>
    <s v="electronics.video.tv"/>
    <s v="lg"/>
    <n v="459.16"/>
    <n v="540546907"/>
    <n v="5"/>
    <n v="2295.8000000000002"/>
    <s v="Low"/>
    <s v="electronics"/>
  </r>
  <r>
    <x v="12"/>
    <s v="purchase"/>
    <n v="1002629"/>
    <s v="electronics.smartphone"/>
    <s v="apple"/>
    <n v="358.31"/>
    <n v="542095461"/>
    <n v="2"/>
    <n v="716.62"/>
    <s v="Low"/>
    <s v="electronics"/>
  </r>
  <r>
    <x v="10"/>
    <s v="purchase"/>
    <n v="1002633"/>
    <s v="electronics.smartphone"/>
    <s v="apple"/>
    <n v="358.31"/>
    <n v="558196159"/>
    <n v="4"/>
    <n v="1433.24"/>
    <s v="Low"/>
    <s v="electronics"/>
  </r>
  <r>
    <x v="3"/>
    <s v="purchase"/>
    <n v="1002633"/>
    <s v="electronics.smartphone"/>
    <s v="apple"/>
    <n v="358.31"/>
    <n v="515673045"/>
    <n v="1"/>
    <n v="358.31"/>
    <s v="Low"/>
    <s v="electronics"/>
  </r>
  <r>
    <x v="10"/>
    <s v="purchase"/>
    <n v="1002633"/>
    <s v="electronics.smartphone"/>
    <s v="apple"/>
    <n v="358.31"/>
    <n v="514707389"/>
    <n v="1"/>
    <n v="358.31"/>
    <s v="Low"/>
    <s v="electronics"/>
  </r>
  <r>
    <x v="3"/>
    <s v="purchase"/>
    <n v="1002629"/>
    <s v="electronics.smartphone"/>
    <s v="apple"/>
    <n v="358.31"/>
    <n v="514707389"/>
    <n v="4"/>
    <n v="1433.24"/>
    <s v="Low"/>
    <s v="electronics"/>
  </r>
  <r>
    <x v="3"/>
    <s v="purchase"/>
    <n v="1002633"/>
    <s v="electronics.smartphone"/>
    <s v="apple"/>
    <n v="358.31"/>
    <n v="558417555"/>
    <n v="2"/>
    <n v="716.62"/>
    <s v="Low"/>
    <s v="electronics"/>
  </r>
  <r>
    <x v="5"/>
    <s v="purchase"/>
    <n v="1002633"/>
    <s v="electronics.smartphone"/>
    <s v="apple"/>
    <n v="358.31"/>
    <n v="516711292"/>
    <n v="1"/>
    <n v="358.31"/>
    <s v="Low"/>
    <s v="electronics"/>
  </r>
  <r>
    <x v="7"/>
    <s v="purchase"/>
    <n v="5100343"/>
    <s v="electronics.clocks"/>
    <s v="apple"/>
    <n v="333.08"/>
    <n v="561842648"/>
    <n v="5"/>
    <n v="1665.3999999999999"/>
    <s v="Low"/>
    <s v="electronics"/>
  </r>
  <r>
    <x v="8"/>
    <s v="purchase"/>
    <n v="5100337"/>
    <s v="electronics.clocks"/>
    <s v="apple"/>
    <n v="317.67"/>
    <n v="564678469"/>
    <n v="2"/>
    <n v="635.34"/>
    <s v="Low"/>
    <s v="electronics"/>
  </r>
  <r>
    <x v="5"/>
    <s v="purchase"/>
    <n v="5100562"/>
    <s v="electronics.clocks"/>
    <s v="apple"/>
    <n v="298.60000000000002"/>
    <n v="512424171"/>
    <n v="2"/>
    <n v="597.20000000000005"/>
    <s v="Low"/>
    <s v="electronics"/>
  </r>
  <r>
    <x v="5"/>
    <s v="purchase"/>
    <n v="4804592"/>
    <s v="electronics.audio.headphone"/>
    <s v="apple"/>
    <n v="257.38"/>
    <n v="513683017"/>
    <n v="5"/>
    <n v="1286.9000000000001"/>
    <s v="Low"/>
    <s v="electronics"/>
  </r>
  <r>
    <x v="3"/>
    <s v="purchase"/>
    <n v="4804055"/>
    <s v="electronics.audio.headphone"/>
    <s v="apple"/>
    <n v="188.94"/>
    <n v="553458480"/>
    <n v="4"/>
    <n v="755.76"/>
    <s v="Low"/>
    <s v="electronics"/>
  </r>
  <r>
    <x v="4"/>
    <s v="purchase"/>
    <n v="4804055"/>
    <s v="electronics.audio.headphone"/>
    <s v="apple"/>
    <n v="188.94"/>
    <n v="545011928"/>
    <n v="1"/>
    <n v="188.94"/>
    <s v="Low"/>
    <s v="electronics"/>
  </r>
  <r>
    <x v="1"/>
    <s v="purchase"/>
    <n v="4804055"/>
    <s v="electronics.audio.headphone"/>
    <s v="apple"/>
    <n v="188.94"/>
    <n v="530038524"/>
    <n v="1"/>
    <n v="188.94"/>
    <s v="Low"/>
    <s v="electronics"/>
  </r>
  <r>
    <x v="14"/>
    <s v="purchase"/>
    <n v="4804055"/>
    <s v="electronics.audio.headphone"/>
    <s v="apple"/>
    <n v="188.94"/>
    <n v="529852051"/>
    <n v="5"/>
    <n v="944.7"/>
    <s v="Low"/>
    <s v="electronics"/>
  </r>
  <r>
    <x v="11"/>
    <s v="purchase"/>
    <n v="4804055"/>
    <s v="electronics.audio.headphone"/>
    <s v="apple"/>
    <n v="188.94"/>
    <n v="515796187"/>
    <n v="1"/>
    <n v="188.94"/>
    <s v="Low"/>
    <s v="electronics"/>
  </r>
  <r>
    <x v="14"/>
    <s v="purchase"/>
    <n v="4804056"/>
    <s v="electronics.audio.headphone"/>
    <s v="apple"/>
    <n v="160.57"/>
    <n v="562067899"/>
    <n v="5"/>
    <n v="802.84999999999991"/>
    <s v="Low"/>
    <s v="electronics"/>
  </r>
  <r>
    <x v="6"/>
    <s v="purchase"/>
    <n v="4804056"/>
    <s v="electronics.audio.headphone"/>
    <s v="apple"/>
    <n v="160.57"/>
    <n v="520214844"/>
    <n v="1"/>
    <n v="160.57"/>
    <s v="Low"/>
    <s v="electronics"/>
  </r>
  <r>
    <x v="0"/>
    <s v="purchase"/>
    <n v="4804056"/>
    <s v="electronics.audio.headphone"/>
    <s v="apple"/>
    <n v="160.57"/>
    <n v="520214844"/>
    <n v="1"/>
    <n v="160.57"/>
    <s v="Low"/>
    <s v="electronics"/>
  </r>
  <r>
    <x v="6"/>
    <s v="purchase"/>
    <n v="4804056"/>
    <s v="electronics.audio.headphone"/>
    <s v="apple"/>
    <n v="160.57"/>
    <n v="538178630"/>
    <n v="2"/>
    <n v="321.14"/>
    <s v="Low"/>
    <s v="electronics"/>
  </r>
  <r>
    <x v="1"/>
    <s v="purchase"/>
    <n v="4804056"/>
    <s v="electronics.audio.headphone"/>
    <s v="apple"/>
    <n v="160.57"/>
    <n v="538178630"/>
    <n v="2"/>
    <n v="321.14"/>
    <s v="Low"/>
    <s v="electronics"/>
  </r>
  <r>
    <x v="4"/>
    <s v="purchase"/>
    <n v="26300081"/>
    <s v="Other"/>
    <s v="lucente"/>
    <n v="437.85"/>
    <n v="563666003"/>
    <n v="5"/>
    <n v="2189.25"/>
    <s v="Low"/>
    <s v="Other"/>
  </r>
  <r>
    <x v="5"/>
    <s v="purchase"/>
    <n v="1306650"/>
    <s v="computers.notebook"/>
    <s v="acer"/>
    <n v="437.57"/>
    <n v="513306883"/>
    <n v="4"/>
    <n v="1750.28"/>
    <s v="Low"/>
    <s v="computers"/>
  </r>
  <r>
    <x v="11"/>
    <s v="purchase"/>
    <n v="17200651"/>
    <s v="furniture.living_room.sofa"/>
    <s v="Other"/>
    <n v="437.33"/>
    <n v="566176246"/>
    <n v="3"/>
    <n v="1311.99"/>
    <s v="Low"/>
    <s v="furniture"/>
  </r>
  <r>
    <x v="14"/>
    <s v="purchase"/>
    <n v="4804056"/>
    <s v="electronics.audio.headphone"/>
    <s v="apple"/>
    <n v="160.57"/>
    <n v="538178630"/>
    <n v="4"/>
    <n v="642.28"/>
    <s v="Low"/>
    <s v="electronics"/>
  </r>
  <r>
    <x v="1"/>
    <s v="purchase"/>
    <n v="1005101"/>
    <s v="electronics.smartphone"/>
    <s v="xiaomi"/>
    <n v="431.4"/>
    <n v="563566070"/>
    <n v="2"/>
    <n v="862.8"/>
    <s v="Low"/>
    <s v="electronics"/>
  </r>
  <r>
    <x v="1"/>
    <s v="purchase"/>
    <n v="13201206"/>
    <s v="furniture.bedroom.bed"/>
    <s v="Other"/>
    <n v="424.72"/>
    <n v="560134869"/>
    <n v="2"/>
    <n v="849.44"/>
    <s v="Low"/>
    <s v="furniture"/>
  </r>
  <r>
    <x v="8"/>
    <s v="purchase"/>
    <n v="13201206"/>
    <s v="furniture.bedroom.bed"/>
    <s v="Other"/>
    <n v="424.72"/>
    <n v="560134869"/>
    <n v="4"/>
    <n v="1698.88"/>
    <s v="Low"/>
    <s v="furniture"/>
  </r>
  <r>
    <x v="9"/>
    <s v="purchase"/>
    <n v="4804056"/>
    <s v="electronics.audio.headphone"/>
    <s v="apple"/>
    <n v="160.57"/>
    <n v="513170847"/>
    <n v="1"/>
    <n v="160.57"/>
    <s v="Low"/>
    <s v="electronics"/>
  </r>
  <r>
    <x v="13"/>
    <s v="purchase"/>
    <n v="26404594"/>
    <s v="Other"/>
    <s v="Other"/>
    <n v="422.92"/>
    <n v="526141136"/>
    <n v="1"/>
    <n v="422.92"/>
    <s v="Low"/>
    <s v="Other"/>
  </r>
  <r>
    <x v="8"/>
    <s v="purchase"/>
    <n v="4000112"/>
    <s v="construction.tools.generator"/>
    <s v="philips"/>
    <n v="411.77"/>
    <n v="540499928"/>
    <n v="2"/>
    <n v="823.54"/>
    <s v="Low"/>
    <s v="construction"/>
  </r>
  <r>
    <x v="8"/>
    <s v="purchase"/>
    <n v="4804056"/>
    <s v="electronics.audio.headphone"/>
    <s v="apple"/>
    <n v="160.57"/>
    <n v="545485472"/>
    <n v="4"/>
    <n v="642.28"/>
    <s v="Low"/>
    <s v="electronics"/>
  </r>
  <r>
    <x v="8"/>
    <s v="purchase"/>
    <n v="4100291"/>
    <s v="Other"/>
    <s v="sony"/>
    <n v="411.57"/>
    <n v="521793571"/>
    <n v="3"/>
    <n v="1234.71"/>
    <s v="Low"/>
    <s v="Other"/>
  </r>
  <r>
    <x v="4"/>
    <s v="purchase"/>
    <n v="4100291"/>
    <s v="Other"/>
    <s v="sony"/>
    <n v="411.57"/>
    <n v="521793571"/>
    <n v="4"/>
    <n v="1646.28"/>
    <s v="Low"/>
    <s v="Other"/>
  </r>
  <r>
    <x v="11"/>
    <s v="purchase"/>
    <n v="4100291"/>
    <s v="Other"/>
    <s v="sony"/>
    <n v="411.57"/>
    <n v="521793571"/>
    <n v="1"/>
    <n v="411.57"/>
    <s v="Low"/>
    <s v="Other"/>
  </r>
  <r>
    <x v="3"/>
    <s v="purchase"/>
    <n v="4804056"/>
    <s v="electronics.audio.headphone"/>
    <s v="apple"/>
    <n v="160.57"/>
    <n v="528133044"/>
    <n v="2"/>
    <n v="321.14"/>
    <s v="Low"/>
    <s v="electronics"/>
  </r>
  <r>
    <x v="8"/>
    <s v="purchase"/>
    <n v="1801539"/>
    <s v="electronics.video.tv"/>
    <s v="lg"/>
    <n v="406.7"/>
    <n v="516121944"/>
    <n v="3"/>
    <n v="1220.0999999999999"/>
    <s v="Low"/>
    <s v="electronics"/>
  </r>
  <r>
    <x v="1"/>
    <s v="purchase"/>
    <n v="1003441"/>
    <s v="electronics.smartphone"/>
    <s v="nokia"/>
    <n v="406.67"/>
    <n v="566299632"/>
    <n v="3"/>
    <n v="1220.01"/>
    <s v="Low"/>
    <s v="electronics"/>
  </r>
  <r>
    <x v="2"/>
    <s v="purchase"/>
    <n v="4804056"/>
    <s v="electronics.audio.headphone"/>
    <s v="apple"/>
    <n v="160.57"/>
    <n v="513052669"/>
    <n v="2"/>
    <n v="321.14"/>
    <s v="Low"/>
    <s v="electronics"/>
  </r>
  <r>
    <x v="7"/>
    <s v="purchase"/>
    <n v="4804056"/>
    <s v="electronics.audio.headphone"/>
    <s v="apple"/>
    <n v="160.57"/>
    <n v="543264125"/>
    <n v="1"/>
    <n v="160.57"/>
    <s v="Low"/>
    <s v="electronics"/>
  </r>
  <r>
    <x v="12"/>
    <s v="purchase"/>
    <n v="4804056"/>
    <s v="electronics.audio.headphone"/>
    <s v="apple"/>
    <n v="160.57"/>
    <n v="566296522"/>
    <n v="2"/>
    <n v="321.14"/>
    <s v="Low"/>
    <s v="electronics"/>
  </r>
  <r>
    <x v="2"/>
    <s v="purchase"/>
    <n v="1005234"/>
    <s v="electronics.smartphone"/>
    <s v="xiaomi"/>
    <n v="398.72"/>
    <n v="512964148"/>
    <n v="5"/>
    <n v="1993.6000000000001"/>
    <s v="Low"/>
    <s v="electronics"/>
  </r>
  <r>
    <x v="4"/>
    <s v="purchase"/>
    <n v="1307279"/>
    <s v="computers.notebook"/>
    <s v="lenovo"/>
    <n v="397.93"/>
    <n v="535812909"/>
    <n v="1"/>
    <n v="397.93"/>
    <s v="Low"/>
    <s v="computers"/>
  </r>
  <r>
    <x v="7"/>
    <s v="purchase"/>
    <n v="4100346"/>
    <s v="Other"/>
    <s v="sony"/>
    <n v="394.14"/>
    <n v="521793571"/>
    <n v="3"/>
    <n v="1182.42"/>
    <s v="Low"/>
    <s v="Other"/>
  </r>
  <r>
    <x v="5"/>
    <s v="purchase"/>
    <n v="4100346"/>
    <s v="Other"/>
    <s v="sony"/>
    <n v="394.14"/>
    <n v="521793571"/>
    <n v="1"/>
    <n v="394.14"/>
    <s v="Low"/>
    <s v="Other"/>
  </r>
  <r>
    <x v="13"/>
    <s v="purchase"/>
    <n v="1004219"/>
    <s v="electronics.smartphone"/>
    <s v="xiaomi"/>
    <n v="385.85"/>
    <n v="544404842"/>
    <n v="2"/>
    <n v="771.7"/>
    <s v="Low"/>
    <s v="electronics"/>
  </r>
  <r>
    <x v="5"/>
    <s v="purchase"/>
    <n v="11800030"/>
    <s v="Other"/>
    <s v="sony"/>
    <n v="380.7"/>
    <n v="513590675"/>
    <n v="4"/>
    <n v="1522.8"/>
    <s v="Low"/>
    <s v="Other"/>
  </r>
  <r>
    <x v="12"/>
    <s v="purchase"/>
    <n v="15100148"/>
    <s v="Other"/>
    <s v="lider"/>
    <n v="378.36"/>
    <n v="548507462"/>
    <n v="1"/>
    <n v="378.36"/>
    <s v="Low"/>
    <s v="Other"/>
  </r>
  <r>
    <x v="9"/>
    <s v="purchase"/>
    <n v="12400328"/>
    <s v="construction.tools.drill"/>
    <s v="dewalt"/>
    <n v="377.04"/>
    <n v="515055282"/>
    <n v="1"/>
    <n v="377.04"/>
    <s v="Low"/>
    <s v="construction"/>
  </r>
  <r>
    <x v="10"/>
    <s v="purchase"/>
    <n v="21405495"/>
    <s v="electronics.clocks"/>
    <s v="Other"/>
    <n v="372.73"/>
    <n v="513849803"/>
    <n v="1"/>
    <n v="372.73"/>
    <s v="Low"/>
    <s v="electronics"/>
  </r>
  <r>
    <x v="10"/>
    <s v="purchase"/>
    <n v="15100383"/>
    <s v="Other"/>
    <s v="Other"/>
    <n v="370.13"/>
    <n v="566285050"/>
    <n v="1"/>
    <n v="370.13"/>
    <s v="Low"/>
    <s v="Other"/>
  </r>
  <r>
    <x v="1"/>
    <s v="purchase"/>
    <n v="4804056"/>
    <s v="electronics.audio.headphone"/>
    <s v="apple"/>
    <n v="160.57"/>
    <n v="566296522"/>
    <n v="5"/>
    <n v="802.84999999999991"/>
    <s v="Low"/>
    <s v="electronics"/>
  </r>
  <r>
    <x v="3"/>
    <s v="purchase"/>
    <n v="4804056"/>
    <s v="electronics.audio.headphone"/>
    <s v="apple"/>
    <n v="160.57"/>
    <n v="531021848"/>
    <n v="4"/>
    <n v="642.28"/>
    <s v="Low"/>
    <s v="electronics"/>
  </r>
  <r>
    <x v="3"/>
    <s v="purchase"/>
    <n v="4804056"/>
    <s v="electronics.audio.headphone"/>
    <s v="apple"/>
    <n v="160.57"/>
    <n v="518098261"/>
    <n v="2"/>
    <n v="321.14"/>
    <s v="Low"/>
    <s v="electronics"/>
  </r>
  <r>
    <x v="2"/>
    <s v="purchase"/>
    <n v="6700940"/>
    <s v="computers.components.videocards"/>
    <s v="gigabyte"/>
    <n v="363.15"/>
    <n v="515749131"/>
    <n v="5"/>
    <n v="1815.75"/>
    <s v="Low"/>
    <s v="computers"/>
  </r>
  <r>
    <x v="13"/>
    <s v="purchase"/>
    <n v="4804056"/>
    <s v="electronics.audio.headphone"/>
    <s v="apple"/>
    <n v="160.57"/>
    <n v="554982396"/>
    <n v="2"/>
    <n v="321.14"/>
    <s v="Low"/>
    <s v="electronics"/>
  </r>
  <r>
    <x v="5"/>
    <s v="purchase"/>
    <n v="4804056"/>
    <s v="electronics.audio.headphone"/>
    <s v="apple"/>
    <n v="160.57"/>
    <n v="514688403"/>
    <n v="1"/>
    <n v="160.57"/>
    <s v="Low"/>
    <s v="electronics"/>
  </r>
  <r>
    <x v="5"/>
    <s v="purchase"/>
    <n v="4804056"/>
    <s v="electronics.audio.headphone"/>
    <s v="apple"/>
    <n v="160.57"/>
    <n v="545645366"/>
    <n v="5"/>
    <n v="802.84999999999991"/>
    <s v="Low"/>
    <s v="electronics"/>
  </r>
  <r>
    <x v="11"/>
    <s v="purchase"/>
    <n v="4804056"/>
    <s v="electronics.audio.headphone"/>
    <s v="apple"/>
    <n v="160.57"/>
    <n v="564678469"/>
    <n v="3"/>
    <n v="481.71"/>
    <s v="Low"/>
    <s v="electronics"/>
  </r>
  <r>
    <x v="10"/>
    <s v="purchase"/>
    <n v="4802888"/>
    <s v="electronics.audio.headphone"/>
    <s v="apple"/>
    <n v="30.84"/>
    <n v="516298129"/>
    <n v="5"/>
    <n v="154.19999999999999"/>
    <s v="Low"/>
    <s v="electronics"/>
  </r>
  <r>
    <x v="12"/>
    <s v="purchase"/>
    <n v="4802888"/>
    <s v="electronics.audio.headphone"/>
    <s v="apple"/>
    <n v="30.84"/>
    <n v="516298129"/>
    <n v="1"/>
    <n v="30.84"/>
    <s v="Low"/>
    <s v="electronics"/>
  </r>
  <r>
    <x v="7"/>
    <s v="purchase"/>
    <n v="4801946"/>
    <s v="electronics.audio.headphone"/>
    <s v="apple"/>
    <n v="22.86"/>
    <n v="546484519"/>
    <n v="4"/>
    <n v="91.44"/>
    <s v="Low"/>
    <s v="electronics"/>
  </r>
  <r>
    <x v="0"/>
    <s v="purchase"/>
    <n v="1005215"/>
    <s v="electronics.smartphone"/>
    <s v="samsung"/>
    <n v="1544.42"/>
    <n v="539290008"/>
    <n v="1"/>
    <n v="1544.42"/>
    <s v="High"/>
    <s v="electronics"/>
  </r>
  <r>
    <x v="12"/>
    <s v="purchase"/>
    <n v="1005073"/>
    <s v="electronics.smartphone"/>
    <s v="samsung"/>
    <n v="1133.3599999999999"/>
    <n v="565641692"/>
    <n v="1"/>
    <n v="1133.3599999999999"/>
    <s v="Medium"/>
    <s v="electronics"/>
  </r>
  <r>
    <x v="10"/>
    <s v="purchase"/>
    <n v="1801826"/>
    <s v="electronics.video.tv"/>
    <s v="toshiba"/>
    <n v="359.6"/>
    <n v="551394581"/>
    <n v="2"/>
    <n v="719.2"/>
    <s v="Low"/>
    <s v="electronics"/>
  </r>
  <r>
    <x v="6"/>
    <s v="purchase"/>
    <n v="1005073"/>
    <s v="electronics.smartphone"/>
    <s v="samsung"/>
    <n v="1133.3599999999999"/>
    <n v="544076203"/>
    <n v="2"/>
    <n v="2266.7199999999998"/>
    <s v="Medium"/>
    <s v="electronics"/>
  </r>
  <r>
    <x v="9"/>
    <s v="purchase"/>
    <n v="1005176"/>
    <s v="electronics.smartphone"/>
    <s v="samsung"/>
    <n v="900.64"/>
    <n v="519040762"/>
    <n v="4"/>
    <n v="3602.56"/>
    <s v="Medium"/>
    <s v="electronics"/>
  </r>
  <r>
    <x v="5"/>
    <s v="purchase"/>
    <n v="1005177"/>
    <s v="electronics.smartphone"/>
    <s v="samsung"/>
    <n v="900.64"/>
    <n v="523955361"/>
    <n v="3"/>
    <n v="2701.92"/>
    <s v="Medium"/>
    <s v="electronics"/>
  </r>
  <r>
    <x v="10"/>
    <s v="purchase"/>
    <n v="1005177"/>
    <s v="electronics.smartphone"/>
    <s v="samsung"/>
    <n v="900.64"/>
    <n v="523955361"/>
    <n v="5"/>
    <n v="4503.2"/>
    <s v="Medium"/>
    <s v="electronics"/>
  </r>
  <r>
    <x v="10"/>
    <s v="purchase"/>
    <n v="1005186"/>
    <s v="electronics.smartphone"/>
    <s v="samsung"/>
    <n v="771.94"/>
    <n v="541898462"/>
    <n v="1"/>
    <n v="771.94"/>
    <s v="Medium"/>
    <s v="electronics"/>
  </r>
  <r>
    <x v="11"/>
    <s v="purchase"/>
    <n v="1004659"/>
    <s v="electronics.smartphone"/>
    <s v="samsung"/>
    <n v="717.39"/>
    <n v="562200921"/>
    <n v="1"/>
    <n v="717.39"/>
    <s v="Medium"/>
    <s v="electronics"/>
  </r>
  <r>
    <x v="9"/>
    <s v="purchase"/>
    <n v="1004659"/>
    <s v="electronics.smartphone"/>
    <s v="samsung"/>
    <n v="717.39"/>
    <n v="563342866"/>
    <n v="2"/>
    <n v="1434.78"/>
    <s v="Medium"/>
    <s v="electronics"/>
  </r>
  <r>
    <x v="10"/>
    <s v="purchase"/>
    <n v="1004659"/>
    <s v="electronics.smartphone"/>
    <s v="samsung"/>
    <n v="717.39"/>
    <n v="519597486"/>
    <n v="3"/>
    <n v="2152.17"/>
    <s v="Medium"/>
    <s v="electronics"/>
  </r>
  <r>
    <x v="3"/>
    <s v="purchase"/>
    <n v="1005174"/>
    <s v="electronics.smartphone"/>
    <s v="samsung"/>
    <n v="643.23"/>
    <n v="537122517"/>
    <n v="2"/>
    <n v="1286.46"/>
    <s v="Medium"/>
    <s v="electronics"/>
  </r>
  <r>
    <x v="0"/>
    <s v="purchase"/>
    <n v="1004653"/>
    <s v="electronics.smartphone"/>
    <s v="samsung"/>
    <n v="588.91999999999996"/>
    <n v="514945956"/>
    <n v="2"/>
    <n v="1177.8399999999999"/>
    <s v="Medium"/>
    <s v="electronics"/>
  </r>
  <r>
    <x v="5"/>
    <s v="purchase"/>
    <n v="13200942"/>
    <s v="furniture.bedroom.bed"/>
    <s v="sv"/>
    <n v="356.25"/>
    <n v="515817705"/>
    <n v="4"/>
    <n v="1425"/>
    <s v="Low"/>
    <s v="furniture"/>
  </r>
  <r>
    <x v="1"/>
    <s v="purchase"/>
    <n v="26300189"/>
    <s v="Other"/>
    <s v="lucente"/>
    <n v="351.1"/>
    <n v="560920553"/>
    <n v="4"/>
    <n v="1404.4"/>
    <s v="Low"/>
    <s v="Other"/>
  </r>
  <r>
    <x v="6"/>
    <s v="purchase"/>
    <n v="1802104"/>
    <s v="electronics.video.tv"/>
    <s v="arg"/>
    <n v="347.49"/>
    <n v="552335155"/>
    <n v="2"/>
    <n v="694.98"/>
    <s v="Low"/>
    <s v="electronics"/>
  </r>
  <r>
    <x v="0"/>
    <s v="purchase"/>
    <n v="1004806"/>
    <s v="electronics.smartphone"/>
    <s v="xiaomi"/>
    <n v="347.24"/>
    <n v="523975579"/>
    <n v="3"/>
    <n v="1041.72"/>
    <s v="Low"/>
    <s v="electronics"/>
  </r>
  <r>
    <x v="8"/>
    <s v="purchase"/>
    <n v="1801631"/>
    <s v="electronics.video.tv"/>
    <s v="artel"/>
    <n v="334.11"/>
    <n v="556039638"/>
    <n v="5"/>
    <n v="1670.5500000000002"/>
    <s v="Low"/>
    <s v="electronics"/>
  </r>
  <r>
    <x v="6"/>
    <s v="purchase"/>
    <n v="1801631"/>
    <s v="electronics.video.tv"/>
    <s v="artel"/>
    <n v="334.11"/>
    <n v="565274818"/>
    <n v="1"/>
    <n v="334.11"/>
    <s v="Low"/>
    <s v="electronics"/>
  </r>
  <r>
    <x v="2"/>
    <s v="purchase"/>
    <n v="1801631"/>
    <s v="electronics.video.tv"/>
    <s v="artel"/>
    <n v="334.11"/>
    <n v="565274818"/>
    <n v="4"/>
    <n v="1336.44"/>
    <s v="Low"/>
    <s v="electronics"/>
  </r>
  <r>
    <x v="1"/>
    <s v="purchase"/>
    <n v="3600545"/>
    <s v="appliances.kitchen.washer"/>
    <s v="samsung"/>
    <n v="579.14"/>
    <n v="533766790"/>
    <n v="5"/>
    <n v="2895.7"/>
    <s v="Medium"/>
    <s v="appliances"/>
  </r>
  <r>
    <x v="4"/>
    <s v="purchase"/>
    <n v="1801559"/>
    <s v="electronics.video.tv"/>
    <s v="philips"/>
    <n v="321.73"/>
    <n v="565735476"/>
    <n v="4"/>
    <n v="1286.92"/>
    <s v="Low"/>
    <s v="electronics"/>
  </r>
  <r>
    <x v="6"/>
    <s v="purchase"/>
    <n v="1005014"/>
    <s v="electronics.smartphone"/>
    <s v="samsung"/>
    <n v="503.09"/>
    <n v="566302063"/>
    <n v="3"/>
    <n v="1509.27"/>
    <s v="Medium"/>
    <s v="electronics"/>
  </r>
  <r>
    <x v="5"/>
    <s v="purchase"/>
    <n v="1005014"/>
    <s v="electronics.smartphone"/>
    <s v="samsung"/>
    <n v="503.09"/>
    <n v="530676551"/>
    <n v="2"/>
    <n v="1006.18"/>
    <s v="Medium"/>
    <s v="electronics"/>
  </r>
  <r>
    <x v="7"/>
    <s v="purchase"/>
    <n v="3700167"/>
    <s v="appliances.environment.vacuum"/>
    <s v="thomas"/>
    <n v="308.86"/>
    <n v="536629021"/>
    <n v="2"/>
    <n v="617.72"/>
    <s v="Low"/>
    <s v="appliances"/>
  </r>
  <r>
    <x v="9"/>
    <s v="purchase"/>
    <n v="3601485"/>
    <s v="appliances.kitchen.washer"/>
    <s v="lg"/>
    <n v="308.63"/>
    <n v="533427236"/>
    <n v="4"/>
    <n v="1234.52"/>
    <s v="Low"/>
    <s v="appliances"/>
  </r>
  <r>
    <x v="12"/>
    <s v="purchase"/>
    <n v="3601485"/>
    <s v="appliances.kitchen.washer"/>
    <s v="lg"/>
    <n v="308.63"/>
    <n v="549878794"/>
    <n v="3"/>
    <n v="925.89"/>
    <s v="Low"/>
    <s v="appliances"/>
  </r>
  <r>
    <x v="14"/>
    <s v="purchase"/>
    <n v="1005165"/>
    <s v="electronics.smartphone"/>
    <s v="xiaomi"/>
    <n v="308.61"/>
    <n v="552345471"/>
    <n v="4"/>
    <n v="1234.44"/>
    <s v="Low"/>
    <s v="electronics"/>
  </r>
  <r>
    <x v="10"/>
    <s v="purchase"/>
    <n v="1005165"/>
    <s v="electronics.smartphone"/>
    <s v="xiaomi"/>
    <n v="308.61"/>
    <n v="552345471"/>
    <n v="5"/>
    <n v="1543.0500000000002"/>
    <s v="Low"/>
    <s v="electronics"/>
  </r>
  <r>
    <x v="6"/>
    <s v="purchase"/>
    <n v="26800031"/>
    <s v="Other"/>
    <s v="genau"/>
    <n v="308.61"/>
    <n v="545580444"/>
    <n v="4"/>
    <n v="1234.44"/>
    <s v="Low"/>
    <s v="Other"/>
  </r>
  <r>
    <x v="9"/>
    <s v="purchase"/>
    <n v="26800031"/>
    <s v="Other"/>
    <s v="genau"/>
    <n v="308.61"/>
    <n v="526715018"/>
    <n v="4"/>
    <n v="1234.44"/>
    <s v="Low"/>
    <s v="Other"/>
  </r>
  <r>
    <x v="10"/>
    <s v="purchase"/>
    <n v="1005238"/>
    <s v="electronics.smartphone"/>
    <s v="oppo"/>
    <n v="308.45"/>
    <n v="554596785"/>
    <n v="4"/>
    <n v="1233.8"/>
    <s v="Low"/>
    <s v="electronics"/>
  </r>
  <r>
    <x v="5"/>
    <s v="purchase"/>
    <n v="1005238"/>
    <s v="electronics.smartphone"/>
    <s v="oppo"/>
    <n v="308.45"/>
    <n v="512482380"/>
    <n v="1"/>
    <n v="308.45"/>
    <s v="Low"/>
    <s v="electronics"/>
  </r>
  <r>
    <x v="5"/>
    <s v="purchase"/>
    <n v="1005252"/>
    <s v="electronics.smartphone"/>
    <s v="oppo"/>
    <n v="308.45"/>
    <n v="513894941"/>
    <n v="3"/>
    <n v="925.34999999999991"/>
    <s v="Low"/>
    <s v="electronics"/>
  </r>
  <r>
    <x v="14"/>
    <s v="purchase"/>
    <n v="1801881"/>
    <s v="electronics.video.tv"/>
    <s v="samsung"/>
    <n v="488.8"/>
    <n v="557746614"/>
    <n v="2"/>
    <n v="977.6"/>
    <s v="Low"/>
    <s v="electronics"/>
  </r>
  <r>
    <x v="7"/>
    <s v="purchase"/>
    <n v="1801881"/>
    <s v="electronics.video.tv"/>
    <s v="samsung"/>
    <n v="488.8"/>
    <n v="557746614"/>
    <n v="1"/>
    <n v="488.8"/>
    <s v="Low"/>
    <s v="electronics"/>
  </r>
  <r>
    <x v="0"/>
    <s v="purchase"/>
    <n v="26401582"/>
    <s v="Other"/>
    <s v="Other"/>
    <n v="303.74"/>
    <n v="515817718"/>
    <n v="2"/>
    <n v="607.48"/>
    <s v="Low"/>
    <s v="Other"/>
  </r>
  <r>
    <x v="5"/>
    <s v="purchase"/>
    <n v="1801881"/>
    <s v="electronics.video.tv"/>
    <s v="samsung"/>
    <n v="488.8"/>
    <n v="557746614"/>
    <n v="5"/>
    <n v="2444"/>
    <s v="Low"/>
    <s v="electronics"/>
  </r>
  <r>
    <x v="2"/>
    <s v="purchase"/>
    <n v="2602023"/>
    <s v="Other"/>
    <s v="gefest"/>
    <n v="298.83"/>
    <n v="562630666"/>
    <n v="2"/>
    <n v="597.66"/>
    <s v="Low"/>
    <s v="Other"/>
  </r>
  <r>
    <x v="4"/>
    <s v="purchase"/>
    <n v="1801881"/>
    <s v="electronics.video.tv"/>
    <s v="samsung"/>
    <n v="488.8"/>
    <n v="557746614"/>
    <n v="3"/>
    <n v="1466.4"/>
    <s v="Low"/>
    <s v="electronics"/>
  </r>
  <r>
    <x v="8"/>
    <s v="purchase"/>
    <n v="26400304"/>
    <s v="Other"/>
    <s v="lucente"/>
    <n v="293.7"/>
    <n v="533351761"/>
    <n v="3"/>
    <n v="881.09999999999991"/>
    <s v="Low"/>
    <s v="Other"/>
  </r>
  <r>
    <x v="4"/>
    <s v="purchase"/>
    <n v="2601154"/>
    <s v="Other"/>
    <s v="gefest"/>
    <n v="293.69"/>
    <n v="515057215"/>
    <n v="5"/>
    <n v="1468.45"/>
    <s v="Low"/>
    <s v="Other"/>
  </r>
  <r>
    <x v="13"/>
    <s v="purchase"/>
    <n v="1801881"/>
    <s v="electronics.video.tv"/>
    <s v="samsung"/>
    <n v="488.8"/>
    <n v="516426931"/>
    <n v="1"/>
    <n v="488.8"/>
    <s v="Low"/>
    <s v="electronics"/>
  </r>
  <r>
    <x v="8"/>
    <s v="purchase"/>
    <n v="1801881"/>
    <s v="electronics.video.tv"/>
    <s v="samsung"/>
    <n v="488.8"/>
    <n v="557746614"/>
    <n v="2"/>
    <n v="977.6"/>
    <s v="Low"/>
    <s v="electronics"/>
  </r>
  <r>
    <x v="13"/>
    <s v="purchase"/>
    <n v="1801881"/>
    <s v="electronics.video.tv"/>
    <s v="samsung"/>
    <n v="488.8"/>
    <n v="557746614"/>
    <n v="5"/>
    <n v="2444"/>
    <s v="Low"/>
    <s v="electronics"/>
  </r>
  <r>
    <x v="8"/>
    <s v="purchase"/>
    <n v="2800382"/>
    <s v="appliances.kitchen.refrigerators"/>
    <s v="Other"/>
    <n v="283.12"/>
    <n v="544591928"/>
    <n v="5"/>
    <n v="1415.6"/>
    <s v="Low"/>
    <s v="appliances"/>
  </r>
  <r>
    <x v="3"/>
    <s v="purchase"/>
    <n v="1307310"/>
    <s v="computers.notebook"/>
    <s v="acer"/>
    <n v="283.08999999999997"/>
    <n v="551713687"/>
    <n v="1"/>
    <n v="283.08999999999997"/>
    <s v="Low"/>
    <s v="computers"/>
  </r>
  <r>
    <x v="8"/>
    <s v="purchase"/>
    <n v="15100034"/>
    <s v="Other"/>
    <s v="Other"/>
    <n v="282.89"/>
    <n v="515005307"/>
    <n v="3"/>
    <n v="848.67"/>
    <s v="Low"/>
    <s v="Other"/>
  </r>
  <r>
    <x v="8"/>
    <s v="purchase"/>
    <n v="1005162"/>
    <s v="electronics.smartphone"/>
    <s v="xiaomi"/>
    <n v="281.70999999999998"/>
    <n v="554029528"/>
    <n v="2"/>
    <n v="563.41999999999996"/>
    <s v="Low"/>
    <s v="electronics"/>
  </r>
  <r>
    <x v="2"/>
    <s v="purchase"/>
    <n v="1005239"/>
    <s v="electronics.smartphone"/>
    <s v="xiaomi"/>
    <n v="280.57"/>
    <n v="536838271"/>
    <n v="2"/>
    <n v="561.14"/>
    <s v="Low"/>
    <s v="electronics"/>
  </r>
  <r>
    <x v="12"/>
    <s v="purchase"/>
    <n v="30100123"/>
    <s v="Other"/>
    <s v="dewalt"/>
    <n v="276.49"/>
    <n v="515055282"/>
    <n v="3"/>
    <n v="829.47"/>
    <s v="Low"/>
    <s v="Other"/>
  </r>
  <r>
    <x v="2"/>
    <s v="purchase"/>
    <n v="1801881"/>
    <s v="electronics.video.tv"/>
    <s v="samsung"/>
    <n v="488.8"/>
    <n v="516426931"/>
    <n v="1"/>
    <n v="488.8"/>
    <s v="Low"/>
    <s v="electronics"/>
  </r>
  <r>
    <x v="2"/>
    <s v="purchase"/>
    <n v="1801881"/>
    <s v="electronics.video.tv"/>
    <s v="samsung"/>
    <n v="488.8"/>
    <n v="513451673"/>
    <n v="2"/>
    <n v="977.6"/>
    <s v="Low"/>
    <s v="electronics"/>
  </r>
  <r>
    <x v="11"/>
    <s v="purchase"/>
    <n v="1801881"/>
    <s v="electronics.video.tv"/>
    <s v="samsung"/>
    <n v="488.8"/>
    <n v="537815115"/>
    <n v="5"/>
    <n v="2444"/>
    <s v="Low"/>
    <s v="electronics"/>
  </r>
  <r>
    <x v="0"/>
    <s v="purchase"/>
    <n v="1003535"/>
    <s v="electronics.smartphone"/>
    <s v="samsung"/>
    <n v="460.5"/>
    <n v="532851148"/>
    <n v="2"/>
    <n v="921"/>
    <s v="Low"/>
    <s v="electronics"/>
  </r>
  <r>
    <x v="1"/>
    <s v="purchase"/>
    <n v="3601344"/>
    <s v="appliances.kitchen.washer"/>
    <s v="samsung"/>
    <n v="424.7"/>
    <n v="514183137"/>
    <n v="4"/>
    <n v="1698.8"/>
    <s v="Low"/>
    <s v="appliances"/>
  </r>
  <r>
    <x v="11"/>
    <s v="purchase"/>
    <n v="1801704"/>
    <s v="electronics.video.tv"/>
    <s v="samsung"/>
    <n v="411.59"/>
    <n v="566294886"/>
    <n v="3"/>
    <n v="1234.77"/>
    <s v="Low"/>
    <s v="electronics"/>
  </r>
  <r>
    <x v="8"/>
    <s v="purchase"/>
    <n v="4201417"/>
    <s v="appliances.environment.air_conditioner"/>
    <s v="samsung"/>
    <n v="399.26"/>
    <n v="566295310"/>
    <n v="3"/>
    <n v="1197.78"/>
    <s v="Low"/>
    <s v="appliances"/>
  </r>
  <r>
    <x v="3"/>
    <s v="purchase"/>
    <n v="3601524"/>
    <s v="appliances.kitchen.washer"/>
    <s v="samsung"/>
    <n v="398.95"/>
    <n v="555697742"/>
    <n v="3"/>
    <n v="1196.8499999999999"/>
    <s v="Low"/>
    <s v="appliances"/>
  </r>
  <r>
    <x v="12"/>
    <s v="purchase"/>
    <n v="3601524"/>
    <s v="appliances.kitchen.washer"/>
    <s v="samsung"/>
    <n v="398.95"/>
    <n v="524298889"/>
    <n v="3"/>
    <n v="1196.8499999999999"/>
    <s v="Low"/>
    <s v="appliances"/>
  </r>
  <r>
    <x v="8"/>
    <s v="purchase"/>
    <n v="1801690"/>
    <s v="electronics.video.tv"/>
    <s v="samsung"/>
    <n v="369.45"/>
    <n v="516426931"/>
    <n v="3"/>
    <n v="1108.3499999999999"/>
    <s v="Low"/>
    <s v="electronics"/>
  </r>
  <r>
    <x v="5"/>
    <s v="purchase"/>
    <n v="1801690"/>
    <s v="electronics.video.tv"/>
    <s v="samsung"/>
    <n v="369.45"/>
    <n v="519269480"/>
    <n v="2"/>
    <n v="738.9"/>
    <s v="Low"/>
    <s v="electronics"/>
  </r>
  <r>
    <x v="0"/>
    <s v="purchase"/>
    <n v="1801690"/>
    <s v="electronics.video.tv"/>
    <s v="samsung"/>
    <n v="369.45"/>
    <n v="547864701"/>
    <n v="4"/>
    <n v="1477.8"/>
    <s v="Low"/>
    <s v="electronics"/>
  </r>
  <r>
    <x v="14"/>
    <s v="purchase"/>
    <n v="1004873"/>
    <s v="electronics.smartphone"/>
    <s v="samsung"/>
    <n v="362.29"/>
    <n v="516676963"/>
    <n v="2"/>
    <n v="724.58"/>
    <s v="Low"/>
    <s v="electronics"/>
  </r>
  <r>
    <x v="6"/>
    <s v="purchase"/>
    <n v="1004873"/>
    <s v="electronics.smartphone"/>
    <s v="samsung"/>
    <n v="362.29"/>
    <n v="547327701"/>
    <n v="3"/>
    <n v="1086.8700000000001"/>
    <s v="Low"/>
    <s v="electronics"/>
  </r>
  <r>
    <x v="10"/>
    <s v="purchase"/>
    <n v="1004873"/>
    <s v="electronics.smartphone"/>
    <s v="samsung"/>
    <n v="362.29"/>
    <n v="512912276"/>
    <n v="3"/>
    <n v="1086.8700000000001"/>
    <s v="Low"/>
    <s v="electronics"/>
  </r>
  <r>
    <x v="3"/>
    <s v="purchase"/>
    <n v="2701658"/>
    <s v="appliances.kitchen.refrigerators"/>
    <s v="indesit"/>
    <n v="272.8"/>
    <n v="524298889"/>
    <n v="4"/>
    <n v="1091.2"/>
    <s v="Low"/>
    <s v="appliances"/>
  </r>
  <r>
    <x v="12"/>
    <s v="purchase"/>
    <n v="1500258"/>
    <s v="computers.peripherals.printer"/>
    <s v="epson"/>
    <n v="272.54000000000002"/>
    <n v="556325945"/>
    <n v="5"/>
    <n v="1362.7"/>
    <s v="Low"/>
    <s v="computers"/>
  </r>
  <r>
    <x v="9"/>
    <s v="purchase"/>
    <n v="1005157"/>
    <s v="electronics.smartphone"/>
    <s v="xiaomi"/>
    <n v="269.77999999999997"/>
    <n v="562012420"/>
    <n v="5"/>
    <n v="1348.8999999999999"/>
    <s v="Low"/>
    <s v="electronics"/>
  </r>
  <r>
    <x v="9"/>
    <s v="purchase"/>
    <n v="1005157"/>
    <s v="electronics.smartphone"/>
    <s v="xiaomi"/>
    <n v="269.77999999999997"/>
    <n v="517386419"/>
    <n v="3"/>
    <n v="809.33999999999992"/>
    <s v="Low"/>
    <s v="electronics"/>
  </r>
  <r>
    <x v="10"/>
    <s v="purchase"/>
    <n v="1005157"/>
    <s v="electronics.smartphone"/>
    <s v="xiaomi"/>
    <n v="269.77999999999997"/>
    <n v="525969243"/>
    <n v="3"/>
    <n v="809.33999999999992"/>
    <s v="Low"/>
    <s v="electronics"/>
  </r>
  <r>
    <x v="5"/>
    <s v="purchase"/>
    <n v="12708205"/>
    <s v="Other"/>
    <s v="Other"/>
    <n v="267.95999999999998"/>
    <n v="514917810"/>
    <n v="4"/>
    <n v="1071.8399999999999"/>
    <s v="Low"/>
    <s v="Other"/>
  </r>
  <r>
    <x v="10"/>
    <s v="purchase"/>
    <n v="1004785"/>
    <s v="electronics.smartphone"/>
    <s v="huawei"/>
    <n v="266"/>
    <n v="556240301"/>
    <n v="4"/>
    <n v="1064"/>
    <s v="Low"/>
    <s v="electronics"/>
  </r>
  <r>
    <x v="13"/>
    <s v="purchase"/>
    <n v="26404599"/>
    <s v="Other"/>
    <s v="Other"/>
    <n v="265.39"/>
    <n v="543171591"/>
    <n v="2"/>
    <n v="530.78"/>
    <s v="Low"/>
    <s v="Other"/>
  </r>
  <r>
    <x v="10"/>
    <s v="purchase"/>
    <n v="1307135"/>
    <s v="computers.notebook"/>
    <s v="hp"/>
    <n v="262.3"/>
    <n v="529726896"/>
    <n v="5"/>
    <n v="1311.5"/>
    <s v="Low"/>
    <s v="computers"/>
  </r>
  <r>
    <x v="3"/>
    <s v="purchase"/>
    <n v="1004873"/>
    <s v="electronics.smartphone"/>
    <s v="samsung"/>
    <n v="362.29"/>
    <n v="551973741"/>
    <n v="5"/>
    <n v="1811.45"/>
    <s v="Low"/>
    <s v="electronics"/>
  </r>
  <r>
    <x v="9"/>
    <s v="purchase"/>
    <n v="11600406"/>
    <s v="computers.desktop"/>
    <s v="microlab"/>
    <n v="260.52999999999997"/>
    <n v="514663441"/>
    <n v="5"/>
    <n v="1302.6499999999999"/>
    <s v="Low"/>
    <s v="computers"/>
  </r>
  <r>
    <x v="14"/>
    <s v="purchase"/>
    <n v="1004873"/>
    <s v="electronics.smartphone"/>
    <s v="samsung"/>
    <n v="362.29"/>
    <n v="533712528"/>
    <n v="3"/>
    <n v="1086.8700000000001"/>
    <s v="Low"/>
    <s v="electronics"/>
  </r>
  <r>
    <x v="1"/>
    <s v="purchase"/>
    <n v="1004873"/>
    <s v="electronics.smartphone"/>
    <s v="samsung"/>
    <n v="362.29"/>
    <n v="538788180"/>
    <n v="5"/>
    <n v="1811.45"/>
    <s v="Low"/>
    <s v="electronics"/>
  </r>
  <r>
    <x v="10"/>
    <s v="purchase"/>
    <n v="1004992"/>
    <s v="electronics.smartphone"/>
    <s v="oppo"/>
    <n v="257.38"/>
    <n v="544649718"/>
    <n v="4"/>
    <n v="1029.52"/>
    <s v="Low"/>
    <s v="electronics"/>
  </r>
  <r>
    <x v="9"/>
    <s v="purchase"/>
    <n v="1004990"/>
    <s v="electronics.smartphone"/>
    <s v="oppo"/>
    <n v="257.38"/>
    <n v="566103025"/>
    <n v="4"/>
    <n v="1029.52"/>
    <s v="Low"/>
    <s v="electronics"/>
  </r>
  <r>
    <x v="8"/>
    <s v="purchase"/>
    <n v="15100337"/>
    <s v="Other"/>
    <s v="Other"/>
    <n v="257.14999999999998"/>
    <n v="525589257"/>
    <n v="3"/>
    <n v="771.44999999999993"/>
    <s v="Low"/>
    <s v="Other"/>
  </r>
  <r>
    <x v="11"/>
    <s v="purchase"/>
    <n v="15100337"/>
    <s v="Other"/>
    <s v="Other"/>
    <n v="257.14999999999998"/>
    <n v="524856701"/>
    <n v="1"/>
    <n v="257.14999999999998"/>
    <s v="Low"/>
    <s v="Other"/>
  </r>
  <r>
    <x v="11"/>
    <s v="purchase"/>
    <n v="1003772"/>
    <s v="electronics.smartphone"/>
    <s v="huawei"/>
    <n v="257.12"/>
    <n v="558997994"/>
    <n v="3"/>
    <n v="771.36"/>
    <s v="Low"/>
    <s v="electronics"/>
  </r>
  <r>
    <x v="5"/>
    <s v="purchase"/>
    <n v="1005205"/>
    <s v="electronics.smartphone"/>
    <s v="oppo"/>
    <n v="256.74"/>
    <n v="525970979"/>
    <n v="3"/>
    <n v="770.22"/>
    <s v="Low"/>
    <s v="electronics"/>
  </r>
  <r>
    <x v="4"/>
    <s v="purchase"/>
    <n v="1005205"/>
    <s v="electronics.smartphone"/>
    <s v="oppo"/>
    <n v="256.74"/>
    <n v="537707520"/>
    <n v="3"/>
    <n v="770.22"/>
    <s v="Low"/>
    <s v="electronics"/>
  </r>
  <r>
    <x v="9"/>
    <s v="purchase"/>
    <n v="30000218"/>
    <s v="construction.tools.welding"/>
    <s v="magnetta"/>
    <n v="254.78"/>
    <n v="515240495"/>
    <n v="1"/>
    <n v="254.78"/>
    <s v="Low"/>
    <s v="construction"/>
  </r>
  <r>
    <x v="12"/>
    <s v="purchase"/>
    <n v="1004781"/>
    <s v="electronics.smartphone"/>
    <s v="huawei"/>
    <n v="254.71"/>
    <n v="558997994"/>
    <n v="2"/>
    <n v="509.42"/>
    <s v="Low"/>
    <s v="electronics"/>
  </r>
  <r>
    <x v="1"/>
    <s v="purchase"/>
    <n v="1307478"/>
    <s v="computers.notebook"/>
    <s v="lenovo"/>
    <n v="252.23"/>
    <n v="559982783"/>
    <n v="2"/>
    <n v="504.46"/>
    <s v="Low"/>
    <s v="computers"/>
  </r>
  <r>
    <x v="6"/>
    <s v="purchase"/>
    <n v="1307478"/>
    <s v="computers.notebook"/>
    <s v="lenovo"/>
    <n v="252.23"/>
    <n v="565993807"/>
    <n v="1"/>
    <n v="252.23"/>
    <s v="Low"/>
    <s v="computers"/>
  </r>
  <r>
    <x v="2"/>
    <s v="purchase"/>
    <n v="1307478"/>
    <s v="computers.notebook"/>
    <s v="lenovo"/>
    <n v="252.23"/>
    <n v="565993807"/>
    <n v="2"/>
    <n v="504.46"/>
    <s v="Low"/>
    <s v="computers"/>
  </r>
  <r>
    <x v="12"/>
    <s v="purchase"/>
    <n v="1801848"/>
    <s v="electronics.video.tv"/>
    <s v="tcl"/>
    <n v="251.95"/>
    <n v="566293397"/>
    <n v="3"/>
    <n v="755.84999999999991"/>
    <s v="Low"/>
    <s v="electronics"/>
  </r>
  <r>
    <x v="5"/>
    <s v="purchase"/>
    <n v="14700139"/>
    <s v="furniture.living_room.cabinet"/>
    <s v="Other"/>
    <n v="244.02"/>
    <n v="559964109"/>
    <n v="1"/>
    <n v="244.02"/>
    <s v="Low"/>
    <s v="furniture"/>
  </r>
  <r>
    <x v="8"/>
    <s v="purchase"/>
    <n v="7400055"/>
    <s v="Other"/>
    <s v="asustor"/>
    <n v="243.96"/>
    <n v="513221406"/>
    <n v="1"/>
    <n v="243.96"/>
    <s v="Low"/>
    <s v="Other"/>
  </r>
  <r>
    <x v="1"/>
    <s v="purchase"/>
    <n v="1004873"/>
    <s v="electronics.smartphone"/>
    <s v="samsung"/>
    <n v="362.29"/>
    <n v="560474415"/>
    <n v="2"/>
    <n v="724.58"/>
    <s v="Low"/>
    <s v="electronics"/>
  </r>
  <r>
    <x v="7"/>
    <s v="purchase"/>
    <n v="1004873"/>
    <s v="electronics.smartphone"/>
    <s v="samsung"/>
    <n v="362.29"/>
    <n v="541877069"/>
    <n v="1"/>
    <n v="362.29"/>
    <s v="Low"/>
    <s v="electronics"/>
  </r>
  <r>
    <x v="7"/>
    <s v="purchase"/>
    <n v="1004873"/>
    <s v="electronics.smartphone"/>
    <s v="samsung"/>
    <n v="362.29"/>
    <n v="521781833"/>
    <n v="1"/>
    <n v="362.29"/>
    <s v="Low"/>
    <s v="electronics"/>
  </r>
  <r>
    <x v="13"/>
    <s v="purchase"/>
    <n v="1004433"/>
    <s v="electronics.smartphone"/>
    <s v="samsung"/>
    <n v="313.77999999999997"/>
    <n v="530337676"/>
    <n v="4"/>
    <n v="1255.1199999999999"/>
    <s v="Low"/>
    <s v="electronics"/>
  </r>
  <r>
    <x v="14"/>
    <s v="purchase"/>
    <n v="3600661"/>
    <s v="appliances.kitchen.washer"/>
    <s v="samsung"/>
    <n v="306.05"/>
    <n v="521339065"/>
    <n v="4"/>
    <n v="1224.2"/>
    <s v="Low"/>
    <s v="appliances"/>
  </r>
  <r>
    <x v="9"/>
    <s v="purchase"/>
    <n v="3600661"/>
    <s v="appliances.kitchen.washer"/>
    <s v="samsung"/>
    <n v="306.05"/>
    <n v="548450778"/>
    <n v="3"/>
    <n v="918.15000000000009"/>
    <s v="Low"/>
    <s v="appliances"/>
  </r>
  <r>
    <x v="14"/>
    <s v="purchase"/>
    <n v="1003533"/>
    <s v="electronics.smartphone"/>
    <s v="samsung"/>
    <n v="301.08"/>
    <n v="533991269"/>
    <n v="3"/>
    <n v="903.24"/>
    <s v="Low"/>
    <s v="electronics"/>
  </r>
  <r>
    <x v="4"/>
    <s v="purchase"/>
    <n v="5100577"/>
    <s v="electronics.clocks"/>
    <s v="samsung"/>
    <n v="290.82"/>
    <n v="555749528"/>
    <n v="4"/>
    <n v="1163.28"/>
    <s v="Low"/>
    <s v="electronics"/>
  </r>
  <r>
    <x v="5"/>
    <s v="purchase"/>
    <n v="5100577"/>
    <s v="electronics.clocks"/>
    <s v="samsung"/>
    <n v="290.82"/>
    <n v="555749528"/>
    <n v="2"/>
    <n v="581.64"/>
    <s v="Low"/>
    <s v="electronics"/>
  </r>
  <r>
    <x v="13"/>
    <s v="purchase"/>
    <n v="5100577"/>
    <s v="electronics.clocks"/>
    <s v="samsung"/>
    <n v="290.82"/>
    <n v="523298376"/>
    <n v="5"/>
    <n v="1454.1"/>
    <s v="Low"/>
    <s v="electronics"/>
  </r>
  <r>
    <x v="14"/>
    <s v="purchase"/>
    <n v="1004870"/>
    <s v="electronics.smartphone"/>
    <s v="samsung"/>
    <n v="275.25"/>
    <n v="554096532"/>
    <n v="4"/>
    <n v="1101"/>
    <s v="Low"/>
    <s v="electronics"/>
  </r>
  <r>
    <x v="1"/>
    <s v="purchase"/>
    <n v="1004870"/>
    <s v="electronics.smartphone"/>
    <s v="samsung"/>
    <n v="275.25"/>
    <n v="554096532"/>
    <n v="4"/>
    <n v="1101"/>
    <s v="Low"/>
    <s v="electronics"/>
  </r>
  <r>
    <x v="2"/>
    <s v="purchase"/>
    <n v="1004870"/>
    <s v="electronics.smartphone"/>
    <s v="samsung"/>
    <n v="275.25"/>
    <n v="566289907"/>
    <n v="3"/>
    <n v="825.75"/>
    <s v="Low"/>
    <s v="electronics"/>
  </r>
  <r>
    <x v="6"/>
    <s v="purchase"/>
    <n v="1004870"/>
    <s v="electronics.smartphone"/>
    <s v="samsung"/>
    <n v="275.25"/>
    <n v="519456951"/>
    <n v="5"/>
    <n v="1376.25"/>
    <s v="Low"/>
    <s v="electronics"/>
  </r>
  <r>
    <x v="1"/>
    <s v="purchase"/>
    <n v="1004870"/>
    <s v="electronics.smartphone"/>
    <s v="samsung"/>
    <n v="275.25"/>
    <n v="536113062"/>
    <n v="5"/>
    <n v="1376.25"/>
    <s v="Low"/>
    <s v="electronics"/>
  </r>
  <r>
    <x v="2"/>
    <s v="purchase"/>
    <n v="1004870"/>
    <s v="electronics.smartphone"/>
    <s v="samsung"/>
    <n v="275.25"/>
    <n v="566295540"/>
    <n v="1"/>
    <n v="275.25"/>
    <s v="Low"/>
    <s v="electronics"/>
  </r>
  <r>
    <x v="13"/>
    <s v="purchase"/>
    <n v="1004870"/>
    <s v="electronics.smartphone"/>
    <s v="samsung"/>
    <n v="275.25"/>
    <n v="566296330"/>
    <n v="2"/>
    <n v="550.5"/>
    <s v="Low"/>
    <s v="electronics"/>
  </r>
  <r>
    <x v="0"/>
    <s v="purchase"/>
    <n v="1004870"/>
    <s v="electronics.smartphone"/>
    <s v="samsung"/>
    <n v="275.25"/>
    <n v="514910022"/>
    <n v="2"/>
    <n v="550.5"/>
    <s v="Low"/>
    <s v="electronics"/>
  </r>
  <r>
    <x v="4"/>
    <s v="purchase"/>
    <n v="1004870"/>
    <s v="electronics.smartphone"/>
    <s v="samsung"/>
    <n v="275.25"/>
    <n v="526620244"/>
    <n v="2"/>
    <n v="550.5"/>
    <s v="Low"/>
    <s v="electronics"/>
  </r>
  <r>
    <x v="12"/>
    <s v="purchase"/>
    <n v="1004870"/>
    <s v="electronics.smartphone"/>
    <s v="samsung"/>
    <n v="275.25"/>
    <n v="540184002"/>
    <n v="2"/>
    <n v="550.5"/>
    <s v="Low"/>
    <s v="electronics"/>
  </r>
  <r>
    <x v="2"/>
    <s v="purchase"/>
    <n v="1004870"/>
    <s v="electronics.smartphone"/>
    <s v="samsung"/>
    <n v="275.25"/>
    <n v="552409607"/>
    <n v="3"/>
    <n v="825.75"/>
    <s v="Low"/>
    <s v="electronics"/>
  </r>
  <r>
    <x v="4"/>
    <s v="purchase"/>
    <n v="1004870"/>
    <s v="electronics.smartphone"/>
    <s v="samsung"/>
    <n v="275.25"/>
    <n v="563956702"/>
    <n v="4"/>
    <n v="1101"/>
    <s v="Low"/>
    <s v="electronics"/>
  </r>
  <r>
    <x v="11"/>
    <s v="purchase"/>
    <n v="1004870"/>
    <s v="electronics.smartphone"/>
    <s v="samsung"/>
    <n v="275.25"/>
    <n v="566304925"/>
    <n v="3"/>
    <n v="825.75"/>
    <s v="Low"/>
    <s v="electronics"/>
  </r>
  <r>
    <x v="1"/>
    <s v="purchase"/>
    <n v="1004872"/>
    <s v="electronics.smartphone"/>
    <s v="samsung"/>
    <n v="273.56"/>
    <n v="520240010"/>
    <n v="1"/>
    <n v="273.56"/>
    <s v="Low"/>
    <s v="electronics"/>
  </r>
  <r>
    <x v="6"/>
    <s v="purchase"/>
    <n v="1004872"/>
    <s v="electronics.smartphone"/>
    <s v="samsung"/>
    <n v="273.56"/>
    <n v="561446528"/>
    <n v="1"/>
    <n v="273.56"/>
    <s v="Low"/>
    <s v="electronics"/>
  </r>
  <r>
    <x v="9"/>
    <s v="purchase"/>
    <n v="1801689"/>
    <s v="electronics.video.tv"/>
    <s v="samsung"/>
    <n v="261.64999999999998"/>
    <n v="564799491"/>
    <n v="3"/>
    <n v="784.94999999999993"/>
    <s v="Low"/>
    <s v="electronics"/>
  </r>
  <r>
    <x v="12"/>
    <s v="purchase"/>
    <n v="5100564"/>
    <s v="electronics.clocks"/>
    <s v="samsung"/>
    <n v="257.87"/>
    <n v="564638626"/>
    <n v="4"/>
    <n v="1031.48"/>
    <s v="Low"/>
    <s v="electronics"/>
  </r>
  <r>
    <x v="0"/>
    <s v="purchase"/>
    <n v="1004768"/>
    <s v="electronics.smartphone"/>
    <s v="samsung"/>
    <n v="242.72"/>
    <n v="566282818"/>
    <n v="1"/>
    <n v="242.72"/>
    <s v="Low"/>
    <s v="electronics"/>
  </r>
  <r>
    <x v="10"/>
    <s v="purchase"/>
    <n v="1004768"/>
    <s v="electronics.smartphone"/>
    <s v="samsung"/>
    <n v="242.72"/>
    <n v="566282818"/>
    <n v="4"/>
    <n v="970.88"/>
    <s v="Low"/>
    <s v="electronics"/>
  </r>
  <r>
    <x v="10"/>
    <s v="purchase"/>
    <n v="1004768"/>
    <s v="electronics.smartphone"/>
    <s v="samsung"/>
    <n v="242.72"/>
    <n v="486999716"/>
    <n v="4"/>
    <n v="970.88"/>
    <s v="Low"/>
    <s v="electronics"/>
  </r>
  <r>
    <x v="5"/>
    <s v="purchase"/>
    <n v="1004766"/>
    <s v="electronics.smartphone"/>
    <s v="samsung"/>
    <n v="242.72"/>
    <n v="512400164"/>
    <n v="4"/>
    <n v="970.88"/>
    <s v="Low"/>
    <s v="electronics"/>
  </r>
  <r>
    <x v="8"/>
    <s v="purchase"/>
    <n v="1004766"/>
    <s v="electronics.smartphone"/>
    <s v="samsung"/>
    <n v="242.72"/>
    <n v="537751883"/>
    <n v="5"/>
    <n v="1213.5999999999999"/>
    <s v="Low"/>
    <s v="electronics"/>
  </r>
  <r>
    <x v="3"/>
    <s v="purchase"/>
    <n v="22700524"/>
    <s v="Other"/>
    <s v="force"/>
    <n v="239.36"/>
    <n v="526125083"/>
    <n v="3"/>
    <n v="718.08"/>
    <s v="Low"/>
    <s v="Other"/>
  </r>
  <r>
    <x v="5"/>
    <s v="purchase"/>
    <n v="27201013"/>
    <s v="Other"/>
    <s v="dsquared"/>
    <n v="234.5"/>
    <n v="522717744"/>
    <n v="3"/>
    <n v="703.5"/>
    <s v="Low"/>
    <s v="Other"/>
  </r>
  <r>
    <x v="3"/>
    <s v="purchase"/>
    <n v="1801940"/>
    <s v="electronics.video.tv"/>
    <s v="haier"/>
    <n v="231.64"/>
    <n v="566294210"/>
    <n v="4"/>
    <n v="926.56"/>
    <s v="Low"/>
    <s v="electronics"/>
  </r>
  <r>
    <x v="13"/>
    <s v="purchase"/>
    <n v="2600400"/>
    <s v="Other"/>
    <s v="Other"/>
    <n v="231.64"/>
    <n v="512870255"/>
    <n v="5"/>
    <n v="1158.1999999999998"/>
    <s v="Low"/>
    <s v="Other"/>
  </r>
  <r>
    <x v="12"/>
    <s v="purchase"/>
    <n v="13200020"/>
    <s v="furniture.bedroom.bed"/>
    <s v="Other"/>
    <n v="231.64"/>
    <n v="514892168"/>
    <n v="5"/>
    <n v="1158.1999999999998"/>
    <s v="Low"/>
    <s v="furniture"/>
  </r>
  <r>
    <x v="8"/>
    <s v="purchase"/>
    <n v="1005236"/>
    <s v="electronics.smartphone"/>
    <s v="oppo"/>
    <n v="231.64"/>
    <n v="540353452"/>
    <n v="4"/>
    <n v="926.56"/>
    <s v="Low"/>
    <s v="electronics"/>
  </r>
  <r>
    <x v="13"/>
    <s v="purchase"/>
    <n v="2800424"/>
    <s v="appliances.kitchen.refrigerators"/>
    <s v="haier"/>
    <n v="231.64"/>
    <n v="548717296"/>
    <n v="2"/>
    <n v="463.28"/>
    <s v="Low"/>
    <s v="appliances"/>
  </r>
  <r>
    <x v="9"/>
    <s v="purchase"/>
    <n v="1005003"/>
    <s v="electronics.smartphone"/>
    <s v="huawei"/>
    <n v="230.93"/>
    <n v="553745133"/>
    <n v="1"/>
    <n v="230.93"/>
    <s v="Low"/>
    <s v="electronics"/>
  </r>
  <r>
    <x v="12"/>
    <s v="purchase"/>
    <n v="1005003"/>
    <s v="electronics.smartphone"/>
    <s v="huawei"/>
    <n v="230.93"/>
    <n v="514862645"/>
    <n v="1"/>
    <n v="230.93"/>
    <s v="Low"/>
    <s v="electronics"/>
  </r>
  <r>
    <x v="7"/>
    <s v="purchase"/>
    <n v="1005003"/>
    <s v="electronics.smartphone"/>
    <s v="huawei"/>
    <n v="230.93"/>
    <n v="565747343"/>
    <n v="2"/>
    <n v="461.86"/>
    <s v="Low"/>
    <s v="electronics"/>
  </r>
  <r>
    <x v="8"/>
    <s v="purchase"/>
    <n v="1005003"/>
    <s v="electronics.smartphone"/>
    <s v="huawei"/>
    <n v="230.93"/>
    <n v="516883277"/>
    <n v="5"/>
    <n v="1154.6500000000001"/>
    <s v="Low"/>
    <s v="electronics"/>
  </r>
  <r>
    <x v="3"/>
    <s v="purchase"/>
    <n v="1005003"/>
    <s v="electronics.smartphone"/>
    <s v="huawei"/>
    <n v="230.93"/>
    <n v="538669191"/>
    <n v="5"/>
    <n v="1154.6500000000001"/>
    <s v="Low"/>
    <s v="electronics"/>
  </r>
  <r>
    <x v="6"/>
    <s v="purchase"/>
    <n v="1004768"/>
    <s v="electronics.smartphone"/>
    <s v="samsung"/>
    <n v="242.72"/>
    <n v="516358282"/>
    <n v="2"/>
    <n v="485.44"/>
    <s v="Low"/>
    <s v="electronics"/>
  </r>
  <r>
    <x v="3"/>
    <s v="purchase"/>
    <n v="1004767"/>
    <s v="electronics.smartphone"/>
    <s v="samsung"/>
    <n v="242.63"/>
    <n v="549987439"/>
    <n v="5"/>
    <n v="1213.1500000000001"/>
    <s v="Low"/>
    <s v="electronics"/>
  </r>
  <r>
    <x v="6"/>
    <s v="purchase"/>
    <n v="1004767"/>
    <s v="electronics.smartphone"/>
    <s v="samsung"/>
    <n v="242.63"/>
    <n v="566292411"/>
    <n v="2"/>
    <n v="485.26"/>
    <s v="Low"/>
    <s v="electronics"/>
  </r>
  <r>
    <x v="5"/>
    <s v="purchase"/>
    <n v="1004767"/>
    <s v="electronics.smartphone"/>
    <s v="samsung"/>
    <n v="242.63"/>
    <n v="561901574"/>
    <n v="1"/>
    <n v="242.63"/>
    <s v="Low"/>
    <s v="electronics"/>
  </r>
  <r>
    <x v="5"/>
    <s v="purchase"/>
    <n v="1004767"/>
    <s v="electronics.smartphone"/>
    <s v="samsung"/>
    <n v="242.63"/>
    <n v="522352077"/>
    <n v="5"/>
    <n v="1213.1500000000001"/>
    <s v="Low"/>
    <s v="electronics"/>
  </r>
  <r>
    <x v="9"/>
    <s v="purchase"/>
    <n v="1004767"/>
    <s v="electronics.smartphone"/>
    <s v="samsung"/>
    <n v="242.63"/>
    <n v="560929837"/>
    <n v="5"/>
    <n v="1213.1500000000001"/>
    <s v="Low"/>
    <s v="electronics"/>
  </r>
  <r>
    <x v="12"/>
    <s v="purchase"/>
    <n v="1004767"/>
    <s v="electronics.smartphone"/>
    <s v="samsung"/>
    <n v="242.63"/>
    <n v="520240010"/>
    <n v="4"/>
    <n v="970.52"/>
    <s v="Low"/>
    <s v="electronics"/>
  </r>
  <r>
    <x v="4"/>
    <s v="purchase"/>
    <n v="1004767"/>
    <s v="electronics.smartphone"/>
    <s v="samsung"/>
    <n v="242.63"/>
    <n v="512527352"/>
    <n v="4"/>
    <n v="970.52"/>
    <s v="Low"/>
    <s v="electronics"/>
  </r>
  <r>
    <x v="13"/>
    <s v="purchase"/>
    <n v="1004767"/>
    <s v="electronics.smartphone"/>
    <s v="samsung"/>
    <n v="242.63"/>
    <n v="555471943"/>
    <n v="3"/>
    <n v="727.89"/>
    <s v="Low"/>
    <s v="electronics"/>
  </r>
  <r>
    <x v="9"/>
    <s v="purchase"/>
    <n v="1004767"/>
    <s v="electronics.smartphone"/>
    <s v="samsung"/>
    <n v="242.63"/>
    <n v="515550869"/>
    <n v="3"/>
    <n v="727.89"/>
    <s v="Low"/>
    <s v="electronics"/>
  </r>
  <r>
    <x v="12"/>
    <s v="purchase"/>
    <n v="1801805"/>
    <s v="electronics.video.tv"/>
    <s v="artel"/>
    <n v="228.76"/>
    <n v="512382878"/>
    <n v="1"/>
    <n v="228.76"/>
    <s v="Low"/>
    <s v="electronics"/>
  </r>
  <r>
    <x v="3"/>
    <s v="purchase"/>
    <n v="2701737"/>
    <s v="appliances.kitchen.refrigerators"/>
    <s v="Other"/>
    <n v="228.47"/>
    <n v="548717296"/>
    <n v="2"/>
    <n v="456.94"/>
    <s v="Low"/>
    <s v="appliances"/>
  </r>
  <r>
    <x v="12"/>
    <s v="purchase"/>
    <n v="1701474"/>
    <s v="computers.peripherals.monitor"/>
    <s v="acer"/>
    <n v="227.03"/>
    <n v="515936079"/>
    <n v="5"/>
    <n v="1135.1500000000001"/>
    <s v="Low"/>
    <s v="computers"/>
  </r>
  <r>
    <x v="13"/>
    <s v="purchase"/>
    <n v="3700837"/>
    <s v="appliances.environment.vacuum"/>
    <s v="arnica"/>
    <n v="225.83"/>
    <n v="535080594"/>
    <n v="1"/>
    <n v="225.83"/>
    <s v="Low"/>
    <s v="appliances"/>
  </r>
  <r>
    <x v="11"/>
    <s v="purchase"/>
    <n v="6701013"/>
    <s v="computers.components.videocards"/>
    <s v="asrock"/>
    <n v="224.6"/>
    <n v="513657489"/>
    <n v="1"/>
    <n v="224.6"/>
    <s v="Low"/>
    <s v="computers"/>
  </r>
  <r>
    <x v="1"/>
    <s v="purchase"/>
    <n v="1004767"/>
    <s v="electronics.smartphone"/>
    <s v="samsung"/>
    <n v="242.63"/>
    <n v="558997994"/>
    <n v="3"/>
    <n v="727.89"/>
    <s v="Low"/>
    <s v="electronics"/>
  </r>
  <r>
    <x v="12"/>
    <s v="purchase"/>
    <n v="1004767"/>
    <s v="electronics.smartphone"/>
    <s v="samsung"/>
    <n v="242.63"/>
    <n v="538440830"/>
    <n v="4"/>
    <n v="970.52"/>
    <s v="Low"/>
    <s v="electronics"/>
  </r>
  <r>
    <x v="8"/>
    <s v="purchase"/>
    <n v="1004767"/>
    <s v="electronics.smartphone"/>
    <s v="samsung"/>
    <n v="242.63"/>
    <n v="560721751"/>
    <n v="2"/>
    <n v="485.26"/>
    <s v="Low"/>
    <s v="electronics"/>
  </r>
  <r>
    <x v="7"/>
    <s v="purchase"/>
    <n v="1004767"/>
    <s v="electronics.smartphone"/>
    <s v="samsung"/>
    <n v="242.63"/>
    <n v="558712090"/>
    <n v="2"/>
    <n v="485.26"/>
    <s v="Low"/>
    <s v="electronics"/>
  </r>
  <r>
    <x v="9"/>
    <s v="purchase"/>
    <n v="1004767"/>
    <s v="electronics.smartphone"/>
    <s v="samsung"/>
    <n v="242.63"/>
    <n v="514796908"/>
    <n v="1"/>
    <n v="242.63"/>
    <s v="Low"/>
    <s v="electronics"/>
  </r>
  <r>
    <x v="9"/>
    <s v="purchase"/>
    <n v="1005223"/>
    <s v="electronics.smartphone"/>
    <s v="xiaomi"/>
    <n v="223.17"/>
    <n v="556989069"/>
    <n v="2"/>
    <n v="446.34"/>
    <s v="Low"/>
    <s v="electronics"/>
  </r>
  <r>
    <x v="8"/>
    <s v="purchase"/>
    <n v="3700790"/>
    <s v="appliances.environment.vacuum"/>
    <s v="bosch"/>
    <n v="218.77"/>
    <n v="512522408"/>
    <n v="5"/>
    <n v="1093.8500000000001"/>
    <s v="Low"/>
    <s v="appliances"/>
  </r>
  <r>
    <x v="5"/>
    <s v="purchase"/>
    <n v="3700790"/>
    <s v="appliances.environment.vacuum"/>
    <s v="bosch"/>
    <n v="218.77"/>
    <n v="566298726"/>
    <n v="5"/>
    <n v="1093.8500000000001"/>
    <s v="Low"/>
    <s v="appliances"/>
  </r>
  <r>
    <x v="9"/>
    <s v="purchase"/>
    <n v="3601508"/>
    <s v="appliances.kitchen.washer"/>
    <s v="midea"/>
    <n v="218.77"/>
    <n v="514991459"/>
    <n v="5"/>
    <n v="1093.8500000000001"/>
    <s v="Low"/>
    <s v="appliances"/>
  </r>
  <r>
    <x v="7"/>
    <s v="purchase"/>
    <n v="1004794"/>
    <s v="electronics.smartphone"/>
    <s v="xiaomi"/>
    <n v="218.54"/>
    <n v="530131574"/>
    <n v="2"/>
    <n v="437.08"/>
    <s v="Low"/>
    <s v="electronics"/>
  </r>
  <r>
    <x v="11"/>
    <s v="purchase"/>
    <n v="12718469"/>
    <s v="Other"/>
    <s v="roingto"/>
    <n v="215.19"/>
    <n v="527277579"/>
    <n v="3"/>
    <n v="645.56999999999994"/>
    <s v="Low"/>
    <s v="Other"/>
  </r>
  <r>
    <x v="9"/>
    <s v="purchase"/>
    <n v="18700068"/>
    <s v="Other"/>
    <s v="Other"/>
    <n v="212.33"/>
    <n v="566174850"/>
    <n v="3"/>
    <n v="636.99"/>
    <s v="Low"/>
    <s v="Other"/>
  </r>
  <r>
    <x v="1"/>
    <s v="purchase"/>
    <n v="1005159"/>
    <s v="electronics.smartphone"/>
    <s v="xiaomi"/>
    <n v="212.1"/>
    <n v="545765280"/>
    <n v="5"/>
    <n v="1060.5"/>
    <s v="Low"/>
    <s v="electronics"/>
  </r>
  <r>
    <x v="8"/>
    <s v="purchase"/>
    <n v="1005160"/>
    <s v="electronics.smartphone"/>
    <s v="xiaomi"/>
    <n v="212.08"/>
    <n v="542326339"/>
    <n v="2"/>
    <n v="424.16"/>
    <s v="Low"/>
    <s v="electronics"/>
  </r>
  <r>
    <x v="11"/>
    <s v="purchase"/>
    <n v="1005160"/>
    <s v="electronics.smartphone"/>
    <s v="xiaomi"/>
    <n v="212.08"/>
    <n v="512823102"/>
    <n v="4"/>
    <n v="848.32"/>
    <s v="Low"/>
    <s v="electronics"/>
  </r>
  <r>
    <x v="5"/>
    <s v="purchase"/>
    <n v="1005160"/>
    <s v="electronics.smartphone"/>
    <s v="xiaomi"/>
    <n v="212.08"/>
    <n v="516972782"/>
    <n v="2"/>
    <n v="424.16"/>
    <s v="Low"/>
    <s v="electronics"/>
  </r>
  <r>
    <x v="1"/>
    <s v="purchase"/>
    <n v="1005160"/>
    <s v="electronics.smartphone"/>
    <s v="xiaomi"/>
    <n v="212.08"/>
    <n v="547660570"/>
    <n v="3"/>
    <n v="636.24"/>
    <s v="Low"/>
    <s v="electronics"/>
  </r>
  <r>
    <x v="1"/>
    <s v="purchase"/>
    <n v="1005160"/>
    <s v="electronics.smartphone"/>
    <s v="xiaomi"/>
    <n v="212.08"/>
    <n v="559835903"/>
    <n v="3"/>
    <n v="636.24"/>
    <s v="Low"/>
    <s v="electronics"/>
  </r>
  <r>
    <x v="5"/>
    <s v="purchase"/>
    <n v="1005160"/>
    <s v="electronics.smartphone"/>
    <s v="xiaomi"/>
    <n v="212.08"/>
    <n v="516035043"/>
    <n v="1"/>
    <n v="212.08"/>
    <s v="Low"/>
    <s v="electronics"/>
  </r>
  <r>
    <x v="12"/>
    <s v="purchase"/>
    <n v="1005161"/>
    <s v="electronics.smartphone"/>
    <s v="xiaomi"/>
    <n v="211.92"/>
    <n v="513351129"/>
    <n v="4"/>
    <n v="847.68"/>
    <s v="Low"/>
    <s v="electronics"/>
  </r>
  <r>
    <x v="9"/>
    <s v="purchase"/>
    <n v="1005161"/>
    <s v="electronics.smartphone"/>
    <s v="xiaomi"/>
    <n v="211.92"/>
    <n v="566292265"/>
    <n v="2"/>
    <n v="423.84"/>
    <s v="Low"/>
    <s v="electronics"/>
  </r>
  <r>
    <x v="13"/>
    <s v="purchase"/>
    <n v="1005161"/>
    <s v="electronics.smartphone"/>
    <s v="xiaomi"/>
    <n v="211.92"/>
    <n v="514017120"/>
    <n v="4"/>
    <n v="847.68"/>
    <s v="Low"/>
    <s v="electronics"/>
  </r>
  <r>
    <x v="9"/>
    <s v="purchase"/>
    <n v="3601290"/>
    <s v="appliances.kitchen.washer"/>
    <s v="indesit"/>
    <n v="210.79"/>
    <n v="566300646"/>
    <n v="1"/>
    <n v="210.79"/>
    <s v="Low"/>
    <s v="appliances"/>
  </r>
  <r>
    <x v="1"/>
    <s v="purchase"/>
    <n v="26200090"/>
    <s v="Other"/>
    <s v="Other"/>
    <n v="209.79"/>
    <n v="566281421"/>
    <n v="1"/>
    <n v="209.79"/>
    <s v="Low"/>
    <s v="Other"/>
  </r>
  <r>
    <x v="3"/>
    <s v="purchase"/>
    <n v="48700007"/>
    <s v="Other"/>
    <s v="crown"/>
    <n v="206.96"/>
    <n v="547622783"/>
    <n v="1"/>
    <n v="206.96"/>
    <s v="Low"/>
    <s v="Other"/>
  </r>
  <r>
    <x v="12"/>
    <s v="purchase"/>
    <n v="42300027"/>
    <s v="furniture.living_room.cabinet"/>
    <s v="Other"/>
    <n v="205.67"/>
    <n v="564071991"/>
    <n v="1"/>
    <n v="205.67"/>
    <s v="Low"/>
    <s v="furniture"/>
  </r>
  <r>
    <x v="14"/>
    <s v="purchase"/>
    <n v="3600452"/>
    <s v="appliances.kitchen.washer"/>
    <s v="indesit"/>
    <n v="205.67"/>
    <n v="560099743"/>
    <n v="1"/>
    <n v="205.67"/>
    <s v="Low"/>
    <s v="appliances"/>
  </r>
  <r>
    <x v="10"/>
    <s v="purchase"/>
    <n v="3600452"/>
    <s v="appliances.kitchen.washer"/>
    <s v="indesit"/>
    <n v="205.67"/>
    <n v="558710419"/>
    <n v="5"/>
    <n v="1028.3499999999999"/>
    <s v="Low"/>
    <s v="appliances"/>
  </r>
  <r>
    <x v="10"/>
    <s v="purchase"/>
    <n v="3600452"/>
    <s v="appliances.kitchen.washer"/>
    <s v="indesit"/>
    <n v="205.67"/>
    <n v="519307909"/>
    <n v="3"/>
    <n v="617.01"/>
    <s v="Low"/>
    <s v="appliances"/>
  </r>
  <r>
    <x v="12"/>
    <s v="purchase"/>
    <n v="26300618"/>
    <s v="Other"/>
    <s v="Other"/>
    <n v="204.64"/>
    <n v="512670642"/>
    <n v="4"/>
    <n v="818.56"/>
    <s v="Low"/>
    <s v="Other"/>
  </r>
  <r>
    <x v="7"/>
    <s v="purchase"/>
    <n v="26200591"/>
    <s v="Other"/>
    <s v="Other"/>
    <n v="203.35"/>
    <n v="548701002"/>
    <n v="3"/>
    <n v="610.04999999999995"/>
    <s v="Low"/>
    <s v="Other"/>
  </r>
  <r>
    <x v="5"/>
    <s v="purchase"/>
    <n v="1004739"/>
    <s v="electronics.smartphone"/>
    <s v="xiaomi"/>
    <n v="203.09"/>
    <n v="562012420"/>
    <n v="5"/>
    <n v="1015.45"/>
    <s v="Low"/>
    <s v="electronics"/>
  </r>
  <r>
    <x v="0"/>
    <s v="purchase"/>
    <n v="1004739"/>
    <s v="electronics.smartphone"/>
    <s v="xiaomi"/>
    <n v="203.09"/>
    <n v="562012420"/>
    <n v="2"/>
    <n v="406.18"/>
    <s v="Low"/>
    <s v="electronics"/>
  </r>
  <r>
    <x v="7"/>
    <s v="purchase"/>
    <n v="1004739"/>
    <s v="electronics.smartphone"/>
    <s v="xiaomi"/>
    <n v="203.09"/>
    <n v="523966975"/>
    <n v="2"/>
    <n v="406.18"/>
    <s v="Low"/>
    <s v="electronics"/>
  </r>
  <r>
    <x v="6"/>
    <s v="purchase"/>
    <n v="1004739"/>
    <s v="electronics.smartphone"/>
    <s v="xiaomi"/>
    <n v="203.09"/>
    <n v="516200807"/>
    <n v="3"/>
    <n v="609.27"/>
    <s v="Low"/>
    <s v="electronics"/>
  </r>
  <r>
    <x v="2"/>
    <s v="purchase"/>
    <n v="1004739"/>
    <s v="electronics.smartphone"/>
    <s v="xiaomi"/>
    <n v="203.09"/>
    <n v="551304161"/>
    <n v="1"/>
    <n v="203.09"/>
    <s v="Low"/>
    <s v="electronics"/>
  </r>
  <r>
    <x v="10"/>
    <s v="purchase"/>
    <n v="1004739"/>
    <s v="electronics.smartphone"/>
    <s v="xiaomi"/>
    <n v="203.09"/>
    <n v="543013761"/>
    <n v="1"/>
    <n v="203.09"/>
    <s v="Low"/>
    <s v="electronics"/>
  </r>
  <r>
    <x v="13"/>
    <s v="purchase"/>
    <n v="1004739"/>
    <s v="electronics.smartphone"/>
    <s v="xiaomi"/>
    <n v="203.09"/>
    <n v="516298129"/>
    <n v="5"/>
    <n v="1015.45"/>
    <s v="Low"/>
    <s v="electronics"/>
  </r>
  <r>
    <x v="14"/>
    <s v="purchase"/>
    <n v="1004739"/>
    <s v="electronics.smartphone"/>
    <s v="xiaomi"/>
    <n v="203.09"/>
    <n v="554279958"/>
    <n v="2"/>
    <n v="406.18"/>
    <s v="Low"/>
    <s v="electronics"/>
  </r>
  <r>
    <x v="1"/>
    <s v="purchase"/>
    <n v="1004739"/>
    <s v="electronics.smartphone"/>
    <s v="xiaomi"/>
    <n v="203.09"/>
    <n v="554279958"/>
    <n v="3"/>
    <n v="609.27"/>
    <s v="Low"/>
    <s v="electronics"/>
  </r>
  <r>
    <x v="11"/>
    <s v="purchase"/>
    <n v="1004739"/>
    <s v="electronics.smartphone"/>
    <s v="xiaomi"/>
    <n v="203.09"/>
    <n v="513704584"/>
    <n v="2"/>
    <n v="406.18"/>
    <s v="Low"/>
    <s v="electronics"/>
  </r>
  <r>
    <x v="1"/>
    <s v="purchase"/>
    <n v="3601027"/>
    <s v="appliances.kitchen.washer"/>
    <s v="indesit"/>
    <n v="200.66"/>
    <n v="566299473"/>
    <n v="1"/>
    <n v="200.66"/>
    <s v="Low"/>
    <s v="appliances"/>
  </r>
  <r>
    <x v="4"/>
    <s v="purchase"/>
    <n v="17000107"/>
    <s v="computers.desktop"/>
    <s v="sv"/>
    <n v="195.35"/>
    <n v="548719875"/>
    <n v="5"/>
    <n v="976.75"/>
    <s v="Low"/>
    <s v="computers"/>
  </r>
  <r>
    <x v="9"/>
    <s v="purchase"/>
    <n v="1004767"/>
    <s v="electronics.smartphone"/>
    <s v="samsung"/>
    <n v="242.63"/>
    <n v="550984822"/>
    <n v="4"/>
    <n v="970.52"/>
    <s v="Low"/>
    <s v="electronics"/>
  </r>
  <r>
    <x v="6"/>
    <s v="purchase"/>
    <n v="1004767"/>
    <s v="electronics.smartphone"/>
    <s v="samsung"/>
    <n v="242.63"/>
    <n v="566301260"/>
    <n v="5"/>
    <n v="1213.1500000000001"/>
    <s v="Low"/>
    <s v="electronics"/>
  </r>
  <r>
    <x v="10"/>
    <s v="purchase"/>
    <n v="1004767"/>
    <s v="electronics.smartphone"/>
    <s v="samsung"/>
    <n v="242.63"/>
    <n v="546975014"/>
    <n v="2"/>
    <n v="485.26"/>
    <s v="Low"/>
    <s v="electronics"/>
  </r>
  <r>
    <x v="3"/>
    <s v="purchase"/>
    <n v="1004767"/>
    <s v="electronics.smartphone"/>
    <s v="samsung"/>
    <n v="242.63"/>
    <n v="550579646"/>
    <n v="1"/>
    <n v="242.63"/>
    <s v="Low"/>
    <s v="electronics"/>
  </r>
  <r>
    <x v="5"/>
    <s v="purchase"/>
    <n v="1004767"/>
    <s v="electronics.smartphone"/>
    <s v="samsung"/>
    <n v="242.63"/>
    <n v="546975014"/>
    <n v="4"/>
    <n v="970.52"/>
    <s v="Low"/>
    <s v="electronics"/>
  </r>
  <r>
    <x v="3"/>
    <s v="purchase"/>
    <n v="1004767"/>
    <s v="electronics.smartphone"/>
    <s v="samsung"/>
    <n v="242.63"/>
    <n v="565400809"/>
    <n v="1"/>
    <n v="242.63"/>
    <s v="Low"/>
    <s v="electronics"/>
  </r>
  <r>
    <x v="8"/>
    <s v="purchase"/>
    <n v="26201661"/>
    <s v="Other"/>
    <s v="Other"/>
    <n v="194.6"/>
    <n v="540247266"/>
    <n v="4"/>
    <n v="778.4"/>
    <s v="Low"/>
    <s v="Other"/>
  </r>
  <r>
    <x v="5"/>
    <s v="purchase"/>
    <n v="1004767"/>
    <s v="electronics.smartphone"/>
    <s v="samsung"/>
    <n v="242.63"/>
    <n v="513003500"/>
    <n v="5"/>
    <n v="1213.1500000000001"/>
    <s v="Low"/>
    <s v="electronics"/>
  </r>
  <r>
    <x v="9"/>
    <s v="purchase"/>
    <n v="4501650"/>
    <s v="appliances.kitchen.hob"/>
    <s v="midea"/>
    <n v="193.03"/>
    <n v="516725758"/>
    <n v="3"/>
    <n v="579.09"/>
    <s v="Low"/>
    <s v="appliances"/>
  </r>
  <r>
    <x v="5"/>
    <s v="purchase"/>
    <n v="2701962"/>
    <s v="appliances.kitchen.refrigerators"/>
    <s v="midea"/>
    <n v="192.8"/>
    <n v="512826309"/>
    <n v="2"/>
    <n v="385.6"/>
    <s v="Low"/>
    <s v="appliances"/>
  </r>
  <r>
    <x v="0"/>
    <s v="purchase"/>
    <n v="2701962"/>
    <s v="appliances.kitchen.refrigerators"/>
    <s v="midea"/>
    <n v="192.8"/>
    <n v="512826309"/>
    <n v="3"/>
    <n v="578.40000000000009"/>
    <s v="Low"/>
    <s v="appliances"/>
  </r>
  <r>
    <x v="13"/>
    <s v="purchase"/>
    <n v="1004741"/>
    <s v="electronics.smartphone"/>
    <s v="xiaomi"/>
    <n v="189.97"/>
    <n v="545304497"/>
    <n v="3"/>
    <n v="569.91"/>
    <s v="Low"/>
    <s v="electronics"/>
  </r>
  <r>
    <x v="0"/>
    <s v="purchase"/>
    <n v="1004741"/>
    <s v="electronics.smartphone"/>
    <s v="xiaomi"/>
    <n v="189.97"/>
    <n v="566294571"/>
    <n v="4"/>
    <n v="759.88"/>
    <s v="Low"/>
    <s v="electronics"/>
  </r>
  <r>
    <x v="1"/>
    <s v="purchase"/>
    <n v="1004741"/>
    <s v="electronics.smartphone"/>
    <s v="xiaomi"/>
    <n v="189.97"/>
    <n v="514526295"/>
    <n v="4"/>
    <n v="759.88"/>
    <s v="Low"/>
    <s v="electronics"/>
  </r>
  <r>
    <x v="4"/>
    <s v="purchase"/>
    <n v="1004741"/>
    <s v="electronics.smartphone"/>
    <s v="xiaomi"/>
    <n v="189.97"/>
    <n v="566298023"/>
    <n v="3"/>
    <n v="569.91"/>
    <s v="Low"/>
    <s v="electronics"/>
  </r>
  <r>
    <x v="1"/>
    <s v="purchase"/>
    <n v="1004741"/>
    <s v="electronics.smartphone"/>
    <s v="xiaomi"/>
    <n v="189.97"/>
    <n v="512527352"/>
    <n v="5"/>
    <n v="949.85"/>
    <s v="Low"/>
    <s v="electronics"/>
  </r>
  <r>
    <x v="2"/>
    <s v="purchase"/>
    <n v="1004741"/>
    <s v="electronics.smartphone"/>
    <s v="xiaomi"/>
    <n v="189.97"/>
    <n v="566199754"/>
    <n v="3"/>
    <n v="569.91"/>
    <s v="Low"/>
    <s v="electronics"/>
  </r>
  <r>
    <x v="9"/>
    <s v="purchase"/>
    <n v="1004741"/>
    <s v="electronics.smartphone"/>
    <s v="xiaomi"/>
    <n v="189.97"/>
    <n v="566199754"/>
    <n v="1"/>
    <n v="189.97"/>
    <s v="Low"/>
    <s v="electronics"/>
  </r>
  <r>
    <x v="13"/>
    <s v="purchase"/>
    <n v="1004741"/>
    <s v="electronics.smartphone"/>
    <s v="xiaomi"/>
    <n v="189.97"/>
    <n v="513532474"/>
    <n v="2"/>
    <n v="379.94"/>
    <s v="Low"/>
    <s v="electronics"/>
  </r>
  <r>
    <x v="7"/>
    <s v="purchase"/>
    <n v="1004741"/>
    <s v="electronics.smartphone"/>
    <s v="xiaomi"/>
    <n v="189.97"/>
    <n v="515238387"/>
    <n v="5"/>
    <n v="949.85"/>
    <s v="Low"/>
    <s v="electronics"/>
  </r>
  <r>
    <x v="11"/>
    <s v="purchase"/>
    <n v="1004741"/>
    <s v="electronics.smartphone"/>
    <s v="xiaomi"/>
    <n v="189.97"/>
    <n v="520235701"/>
    <n v="2"/>
    <n v="379.94"/>
    <s v="Low"/>
    <s v="electronics"/>
  </r>
  <r>
    <x v="7"/>
    <s v="purchase"/>
    <n v="1004741"/>
    <s v="electronics.smartphone"/>
    <s v="xiaomi"/>
    <n v="189.97"/>
    <n v="516287469"/>
    <n v="2"/>
    <n v="379.94"/>
    <s v="Low"/>
    <s v="electronics"/>
  </r>
  <r>
    <x v="1"/>
    <s v="purchase"/>
    <n v="1004767"/>
    <s v="electronics.smartphone"/>
    <s v="samsung"/>
    <n v="242.63"/>
    <n v="519659731"/>
    <n v="3"/>
    <n v="727.89"/>
    <s v="Low"/>
    <s v="electronics"/>
  </r>
  <r>
    <x v="2"/>
    <s v="purchase"/>
    <n v="1004767"/>
    <s v="electronics.smartphone"/>
    <s v="samsung"/>
    <n v="242.63"/>
    <n v="554225828"/>
    <n v="1"/>
    <n v="242.63"/>
    <s v="Low"/>
    <s v="electronics"/>
  </r>
  <r>
    <x v="10"/>
    <s v="purchase"/>
    <n v="1004767"/>
    <s v="electronics.smartphone"/>
    <s v="samsung"/>
    <n v="242.63"/>
    <n v="563186550"/>
    <n v="2"/>
    <n v="485.26"/>
    <s v="Low"/>
    <s v="electronics"/>
  </r>
  <r>
    <x v="9"/>
    <s v="purchase"/>
    <n v="1004767"/>
    <s v="electronics.smartphone"/>
    <s v="samsung"/>
    <n v="242.63"/>
    <n v="565708694"/>
    <n v="3"/>
    <n v="727.89"/>
    <s v="Low"/>
    <s v="electronics"/>
  </r>
  <r>
    <x v="6"/>
    <s v="purchase"/>
    <n v="1004767"/>
    <s v="electronics.smartphone"/>
    <s v="samsung"/>
    <n v="242.63"/>
    <n v="543633733"/>
    <n v="1"/>
    <n v="242.63"/>
    <s v="Low"/>
    <s v="electronics"/>
  </r>
  <r>
    <x v="14"/>
    <s v="purchase"/>
    <n v="26500141"/>
    <s v="Other"/>
    <s v="lucente"/>
    <n v="186.11"/>
    <n v="521026062"/>
    <n v="3"/>
    <n v="558.33000000000004"/>
    <s v="Low"/>
    <s v="Other"/>
  </r>
  <r>
    <x v="4"/>
    <s v="purchase"/>
    <n v="26400292"/>
    <s v="Other"/>
    <s v="lucente"/>
    <n v="185.85"/>
    <n v="521374214"/>
    <n v="5"/>
    <n v="929.25"/>
    <s v="Low"/>
    <s v="Other"/>
  </r>
  <r>
    <x v="4"/>
    <s v="purchase"/>
    <n v="5700785"/>
    <s v="auto.accessories.player"/>
    <s v="Other"/>
    <n v="180.16"/>
    <n v="522560074"/>
    <n v="1"/>
    <n v="180.16"/>
    <s v="Low"/>
    <s v="auto"/>
  </r>
  <r>
    <x v="1"/>
    <s v="purchase"/>
    <n v="1801995"/>
    <s v="electronics.video.tv"/>
    <s v="haier"/>
    <n v="180.16"/>
    <n v="516426931"/>
    <n v="4"/>
    <n v="720.64"/>
    <s v="Low"/>
    <s v="electronics"/>
  </r>
  <r>
    <x v="13"/>
    <s v="purchase"/>
    <n v="3601405"/>
    <s v="appliances.kitchen.washer"/>
    <s v="beko"/>
    <n v="180.16"/>
    <n v="514584748"/>
    <n v="3"/>
    <n v="540.48"/>
    <s v="Low"/>
    <s v="appliances"/>
  </r>
  <r>
    <x v="3"/>
    <s v="purchase"/>
    <n v="26401404"/>
    <s v="Other"/>
    <s v="lucente"/>
    <n v="179.41"/>
    <n v="561481806"/>
    <n v="3"/>
    <n v="538.23"/>
    <s v="Low"/>
    <s v="Other"/>
  </r>
  <r>
    <x v="8"/>
    <s v="purchase"/>
    <n v="1004839"/>
    <s v="electronics.smartphone"/>
    <s v="oppo"/>
    <n v="179.12"/>
    <n v="542677637"/>
    <n v="5"/>
    <n v="895.6"/>
    <s v="Low"/>
    <s v="electronics"/>
  </r>
  <r>
    <x v="7"/>
    <s v="purchase"/>
    <n v="1004402"/>
    <s v="electronics.smartphone"/>
    <s v="xiaomi"/>
    <n v="178.9"/>
    <n v="519126099"/>
    <n v="5"/>
    <n v="894.5"/>
    <s v="Low"/>
    <s v="electronics"/>
  </r>
  <r>
    <x v="6"/>
    <s v="purchase"/>
    <n v="1004838"/>
    <s v="electronics.smartphone"/>
    <s v="oppo"/>
    <n v="178.87"/>
    <n v="514086280"/>
    <n v="4"/>
    <n v="715.48"/>
    <s v="Low"/>
    <s v="electronics"/>
  </r>
  <r>
    <x v="8"/>
    <s v="purchase"/>
    <n v="1004838"/>
    <s v="electronics.smartphone"/>
    <s v="oppo"/>
    <n v="178.87"/>
    <n v="566286144"/>
    <n v="1"/>
    <n v="178.87"/>
    <s v="Low"/>
    <s v="electronics"/>
  </r>
  <r>
    <x v="2"/>
    <s v="purchase"/>
    <n v="1004838"/>
    <s v="electronics.smartphone"/>
    <s v="oppo"/>
    <n v="178.87"/>
    <n v="560839778"/>
    <n v="4"/>
    <n v="715.48"/>
    <s v="Low"/>
    <s v="electronics"/>
  </r>
  <r>
    <x v="2"/>
    <s v="purchase"/>
    <n v="1004838"/>
    <s v="electronics.smartphone"/>
    <s v="oppo"/>
    <n v="178.87"/>
    <n v="563915498"/>
    <n v="5"/>
    <n v="894.35"/>
    <s v="Low"/>
    <s v="electronics"/>
  </r>
  <r>
    <x v="7"/>
    <s v="purchase"/>
    <n v="1004838"/>
    <s v="electronics.smartphone"/>
    <s v="oppo"/>
    <n v="178.87"/>
    <n v="521122611"/>
    <n v="4"/>
    <n v="715.48"/>
    <s v="Low"/>
    <s v="electronics"/>
  </r>
  <r>
    <x v="1"/>
    <s v="purchase"/>
    <n v="3600163"/>
    <s v="appliances.kitchen.washer"/>
    <s v="indesit"/>
    <n v="177.27"/>
    <n v="548450778"/>
    <n v="3"/>
    <n v="531.81000000000006"/>
    <s v="Low"/>
    <s v="appliances"/>
  </r>
  <r>
    <x v="2"/>
    <s v="purchase"/>
    <n v="3600163"/>
    <s v="appliances.kitchen.washer"/>
    <s v="indesit"/>
    <n v="177.27"/>
    <n v="548450778"/>
    <n v="3"/>
    <n v="531.81000000000006"/>
    <s v="Low"/>
    <s v="appliances"/>
  </r>
  <r>
    <x v="8"/>
    <s v="purchase"/>
    <n v="3600163"/>
    <s v="appliances.kitchen.washer"/>
    <s v="indesit"/>
    <n v="177.27"/>
    <n v="565678398"/>
    <n v="5"/>
    <n v="886.35"/>
    <s v="Low"/>
    <s v="appliances"/>
  </r>
  <r>
    <x v="5"/>
    <s v="purchase"/>
    <n v="3600163"/>
    <s v="appliances.kitchen.washer"/>
    <s v="indesit"/>
    <n v="177.27"/>
    <n v="561451996"/>
    <n v="4"/>
    <n v="709.08"/>
    <s v="Low"/>
    <s v="appliances"/>
  </r>
  <r>
    <x v="9"/>
    <s v="purchase"/>
    <n v="3600163"/>
    <s v="appliances.kitchen.washer"/>
    <s v="indesit"/>
    <n v="177.27"/>
    <n v="564677266"/>
    <n v="4"/>
    <n v="709.08"/>
    <s v="Low"/>
    <s v="appliances"/>
  </r>
  <r>
    <x v="4"/>
    <s v="purchase"/>
    <n v="13201002"/>
    <s v="furniture.bedroom.bed"/>
    <s v="stendmebel"/>
    <n v="176.04"/>
    <n v="512878430"/>
    <n v="5"/>
    <n v="880.19999999999993"/>
    <s v="Low"/>
    <s v="furniture"/>
  </r>
  <r>
    <x v="13"/>
    <s v="purchase"/>
    <n v="22700078"/>
    <s v="Other"/>
    <s v="stels"/>
    <n v="175.04"/>
    <n v="563362800"/>
    <n v="3"/>
    <n v="525.12"/>
    <s v="Low"/>
    <s v="Other"/>
  </r>
  <r>
    <x v="1"/>
    <s v="purchase"/>
    <n v="10501364"/>
    <s v="Other"/>
    <s v="edufun"/>
    <n v="175.01"/>
    <n v="566021291"/>
    <n v="1"/>
    <n v="175.01"/>
    <s v="Low"/>
    <s v="Other"/>
  </r>
  <r>
    <x v="12"/>
    <s v="purchase"/>
    <n v="17301496"/>
    <s v="Other"/>
    <s v="chanel"/>
    <n v="172.46"/>
    <n v="566289907"/>
    <n v="3"/>
    <n v="517.38"/>
    <s v="Low"/>
    <s v="Other"/>
  </r>
  <r>
    <x v="14"/>
    <s v="purchase"/>
    <n v="26200289"/>
    <s v="Other"/>
    <s v="Other"/>
    <n v="172.46"/>
    <n v="541860342"/>
    <n v="5"/>
    <n v="862.30000000000007"/>
    <s v="Low"/>
    <s v="Other"/>
  </r>
  <r>
    <x v="1"/>
    <s v="purchase"/>
    <n v="1004836"/>
    <s v="electronics.smartphone"/>
    <s v="samsung"/>
    <n v="229.9"/>
    <n v="533687444"/>
    <n v="5"/>
    <n v="1149.5"/>
    <s v="Low"/>
    <s v="electronics"/>
  </r>
  <r>
    <x v="7"/>
    <s v="purchase"/>
    <n v="1004836"/>
    <s v="electronics.smartphone"/>
    <s v="samsung"/>
    <n v="229.9"/>
    <n v="514480552"/>
    <n v="4"/>
    <n v="919.6"/>
    <s v="Low"/>
    <s v="electronics"/>
  </r>
  <r>
    <x v="2"/>
    <s v="purchase"/>
    <n v="1004836"/>
    <s v="electronics.smartphone"/>
    <s v="samsung"/>
    <n v="229.9"/>
    <n v="528237371"/>
    <n v="4"/>
    <n v="919.6"/>
    <s v="Low"/>
    <s v="electronics"/>
  </r>
  <r>
    <x v="12"/>
    <s v="purchase"/>
    <n v="1004836"/>
    <s v="electronics.smartphone"/>
    <s v="samsung"/>
    <n v="229.9"/>
    <n v="513114259"/>
    <n v="4"/>
    <n v="919.6"/>
    <s v="Low"/>
    <s v="electronics"/>
  </r>
  <r>
    <x v="14"/>
    <s v="purchase"/>
    <n v="1004836"/>
    <s v="electronics.smartphone"/>
    <s v="samsung"/>
    <n v="229.9"/>
    <n v="512527352"/>
    <n v="2"/>
    <n v="459.8"/>
    <s v="Low"/>
    <s v="electronics"/>
  </r>
  <r>
    <x v="0"/>
    <s v="purchase"/>
    <n v="1004836"/>
    <s v="electronics.smartphone"/>
    <s v="samsung"/>
    <n v="229.9"/>
    <n v="545571328"/>
    <n v="4"/>
    <n v="919.6"/>
    <s v="Low"/>
    <s v="electronics"/>
  </r>
  <r>
    <x v="6"/>
    <s v="purchase"/>
    <n v="1004836"/>
    <s v="electronics.smartphone"/>
    <s v="samsung"/>
    <n v="229.9"/>
    <n v="566300169"/>
    <n v="3"/>
    <n v="689.7"/>
    <s v="Low"/>
    <s v="electronics"/>
  </r>
  <r>
    <x v="8"/>
    <s v="purchase"/>
    <n v="1004836"/>
    <s v="electronics.smartphone"/>
    <s v="samsung"/>
    <n v="229.9"/>
    <n v="543672320"/>
    <n v="3"/>
    <n v="689.7"/>
    <s v="Low"/>
    <s v="electronics"/>
  </r>
  <r>
    <x v="12"/>
    <s v="purchase"/>
    <n v="1004836"/>
    <s v="electronics.smartphone"/>
    <s v="samsung"/>
    <n v="229.9"/>
    <n v="563293492"/>
    <n v="2"/>
    <n v="459.8"/>
    <s v="Low"/>
    <s v="electronics"/>
  </r>
  <r>
    <x v="9"/>
    <s v="purchase"/>
    <n v="1004836"/>
    <s v="electronics.smartphone"/>
    <s v="samsung"/>
    <n v="229.9"/>
    <n v="566304290"/>
    <n v="5"/>
    <n v="1149.5"/>
    <s v="Low"/>
    <s v="electronics"/>
  </r>
  <r>
    <x v="2"/>
    <s v="purchase"/>
    <n v="1004835"/>
    <s v="electronics.smartphone"/>
    <s v="samsung"/>
    <n v="223.95"/>
    <n v="566282354"/>
    <n v="4"/>
    <n v="895.8"/>
    <s v="Low"/>
    <s v="electronics"/>
  </r>
  <r>
    <x v="11"/>
    <s v="purchase"/>
    <n v="1004835"/>
    <s v="electronics.smartphone"/>
    <s v="samsung"/>
    <n v="223.95"/>
    <n v="516359563"/>
    <n v="2"/>
    <n v="447.9"/>
    <s v="Low"/>
    <s v="electronics"/>
  </r>
  <r>
    <x v="2"/>
    <s v="purchase"/>
    <n v="1004835"/>
    <s v="electronics.smartphone"/>
    <s v="samsung"/>
    <n v="223.95"/>
    <n v="525599019"/>
    <n v="1"/>
    <n v="223.95"/>
    <s v="Low"/>
    <s v="electronics"/>
  </r>
  <r>
    <x v="2"/>
    <s v="purchase"/>
    <n v="1004835"/>
    <s v="electronics.smartphone"/>
    <s v="samsung"/>
    <n v="223.95"/>
    <n v="541860342"/>
    <n v="4"/>
    <n v="895.8"/>
    <s v="Low"/>
    <s v="electronics"/>
  </r>
  <r>
    <x v="13"/>
    <s v="purchase"/>
    <n v="1004835"/>
    <s v="electronics.smartphone"/>
    <s v="samsung"/>
    <n v="223.95"/>
    <n v="517060786"/>
    <n v="3"/>
    <n v="671.84999999999991"/>
    <s v="Low"/>
    <s v="electronics"/>
  </r>
  <r>
    <x v="11"/>
    <s v="purchase"/>
    <n v="1004750"/>
    <s v="electronics.smartphone"/>
    <s v="samsung"/>
    <n v="195.06"/>
    <n v="566283682"/>
    <n v="4"/>
    <n v="780.24"/>
    <s v="Low"/>
    <s v="electronics"/>
  </r>
  <r>
    <x v="1"/>
    <s v="purchase"/>
    <n v="1004750"/>
    <s v="electronics.smartphone"/>
    <s v="samsung"/>
    <n v="195.06"/>
    <n v="566095126"/>
    <n v="1"/>
    <n v="195.06"/>
    <s v="Low"/>
    <s v="electronics"/>
  </r>
  <r>
    <x v="0"/>
    <s v="purchase"/>
    <n v="1004750"/>
    <s v="electronics.smartphone"/>
    <s v="samsung"/>
    <n v="195.06"/>
    <n v="566025328"/>
    <n v="3"/>
    <n v="585.18000000000006"/>
    <s v="Low"/>
    <s v="electronics"/>
  </r>
  <r>
    <x v="9"/>
    <s v="purchase"/>
    <n v="17301495"/>
    <s v="Other"/>
    <s v="chanel"/>
    <n v="171.17"/>
    <n v="532234249"/>
    <n v="1"/>
    <n v="171.17"/>
    <s v="Low"/>
    <s v="Other"/>
  </r>
  <r>
    <x v="9"/>
    <s v="purchase"/>
    <n v="2601106"/>
    <s v="Other"/>
    <s v="gefest"/>
    <n v="169.81"/>
    <n v="533189542"/>
    <n v="2"/>
    <n v="339.62"/>
    <s v="Low"/>
    <s v="Other"/>
  </r>
  <r>
    <x v="2"/>
    <s v="purchase"/>
    <n v="5100722"/>
    <s v="electronics.clocks"/>
    <s v="huawei"/>
    <n v="169.63"/>
    <n v="551573903"/>
    <n v="5"/>
    <n v="848.15"/>
    <s v="Low"/>
    <s v="electronics"/>
  </r>
  <r>
    <x v="8"/>
    <s v="purchase"/>
    <n v="5100722"/>
    <s v="electronics.clocks"/>
    <s v="huawei"/>
    <n v="169.63"/>
    <n v="551573903"/>
    <n v="1"/>
    <n v="169.63"/>
    <s v="Low"/>
    <s v="electronics"/>
  </r>
  <r>
    <x v="13"/>
    <s v="purchase"/>
    <n v="13101488"/>
    <s v="Other"/>
    <s v="skad"/>
    <n v="169.37"/>
    <n v="512656415"/>
    <n v="3"/>
    <n v="508.11"/>
    <s v="Low"/>
    <s v="Other"/>
  </r>
  <r>
    <x v="5"/>
    <s v="purchase"/>
    <n v="2800429"/>
    <s v="appliances.kitchen.refrigerators"/>
    <s v="leadbros"/>
    <n v="168.86"/>
    <n v="513474628"/>
    <n v="3"/>
    <n v="506.58000000000004"/>
    <s v="Low"/>
    <s v="appliances"/>
  </r>
  <r>
    <x v="1"/>
    <s v="purchase"/>
    <n v="26402786"/>
    <s v="Other"/>
    <s v="lucente"/>
    <n v="167.31"/>
    <n v="518291241"/>
    <n v="2"/>
    <n v="334.62"/>
    <s v="Low"/>
    <s v="Other"/>
  </r>
  <r>
    <x v="2"/>
    <s v="purchase"/>
    <n v="4000170"/>
    <s v="construction.tools.generator"/>
    <s v="tefal"/>
    <n v="167.29"/>
    <n v="514101034"/>
    <n v="4"/>
    <n v="669.16"/>
    <s v="Low"/>
    <s v="construction"/>
  </r>
  <r>
    <x v="5"/>
    <s v="purchase"/>
    <n v="2900816"/>
    <s v="appliances.kitchen.microwave"/>
    <s v="midea"/>
    <n v="167.11"/>
    <n v="513451653"/>
    <n v="4"/>
    <n v="668.44"/>
    <s v="Low"/>
    <s v="appliances"/>
  </r>
  <r>
    <x v="14"/>
    <s v="purchase"/>
    <n v="11500708"/>
    <s v="Other"/>
    <s v="jbl"/>
    <n v="167.06"/>
    <n v="566302098"/>
    <n v="2"/>
    <n v="334.12"/>
    <s v="Low"/>
    <s v="Other"/>
  </r>
  <r>
    <x v="10"/>
    <s v="purchase"/>
    <n v="11500708"/>
    <s v="Other"/>
    <s v="jbl"/>
    <n v="167.06"/>
    <n v="566302098"/>
    <n v="5"/>
    <n v="835.3"/>
    <s v="Low"/>
    <s v="Other"/>
  </r>
  <r>
    <x v="12"/>
    <s v="purchase"/>
    <n v="1004961"/>
    <s v="electronics.smartphone"/>
    <s v="oppo"/>
    <n v="166.41"/>
    <n v="551099819"/>
    <n v="5"/>
    <n v="832.05"/>
    <s v="Low"/>
    <s v="electronics"/>
  </r>
  <r>
    <x v="11"/>
    <s v="purchase"/>
    <n v="1004565"/>
    <s v="electronics.smartphone"/>
    <s v="huawei"/>
    <n v="164.95"/>
    <n v="514925962"/>
    <n v="2"/>
    <n v="329.9"/>
    <s v="Low"/>
    <s v="electronics"/>
  </r>
  <r>
    <x v="1"/>
    <s v="purchase"/>
    <n v="1004565"/>
    <s v="electronics.smartphone"/>
    <s v="huawei"/>
    <n v="164.95"/>
    <n v="523893477"/>
    <n v="5"/>
    <n v="824.75"/>
    <s v="Low"/>
    <s v="electronics"/>
  </r>
  <r>
    <x v="7"/>
    <s v="purchase"/>
    <n v="1004565"/>
    <s v="electronics.smartphone"/>
    <s v="huawei"/>
    <n v="164.95"/>
    <n v="541368253"/>
    <n v="3"/>
    <n v="494.84999999999997"/>
    <s v="Low"/>
    <s v="electronics"/>
  </r>
  <r>
    <x v="13"/>
    <s v="purchase"/>
    <n v="1004565"/>
    <s v="electronics.smartphone"/>
    <s v="huawei"/>
    <n v="164.95"/>
    <n v="530337676"/>
    <n v="2"/>
    <n v="329.9"/>
    <s v="Low"/>
    <s v="electronics"/>
  </r>
  <r>
    <x v="11"/>
    <s v="purchase"/>
    <n v="1004565"/>
    <s v="electronics.smartphone"/>
    <s v="huawei"/>
    <n v="164.95"/>
    <n v="530337676"/>
    <n v="2"/>
    <n v="329.9"/>
    <s v="Low"/>
    <s v="electronics"/>
  </r>
  <r>
    <x v="8"/>
    <s v="purchase"/>
    <n v="13300069"/>
    <s v="Other"/>
    <s v="Other"/>
    <n v="164.71"/>
    <n v="537129970"/>
    <n v="4"/>
    <n v="658.84"/>
    <s v="Low"/>
    <s v="Other"/>
  </r>
  <r>
    <x v="2"/>
    <s v="purchase"/>
    <n v="1004750"/>
    <s v="electronics.smartphone"/>
    <s v="samsung"/>
    <n v="195.06"/>
    <n v="566298201"/>
    <n v="2"/>
    <n v="390.12"/>
    <s v="Low"/>
    <s v="electronics"/>
  </r>
  <r>
    <x v="2"/>
    <s v="purchase"/>
    <n v="1004750"/>
    <s v="electronics.smartphone"/>
    <s v="samsung"/>
    <n v="195.06"/>
    <n v="557760558"/>
    <n v="3"/>
    <n v="585.18000000000006"/>
    <s v="Low"/>
    <s v="electronics"/>
  </r>
  <r>
    <x v="1"/>
    <s v="purchase"/>
    <n v="1004750"/>
    <s v="electronics.smartphone"/>
    <s v="samsung"/>
    <n v="195.06"/>
    <n v="557760558"/>
    <n v="3"/>
    <n v="585.18000000000006"/>
    <s v="Low"/>
    <s v="electronics"/>
  </r>
  <r>
    <x v="5"/>
    <s v="purchase"/>
    <n v="1005211"/>
    <s v="electronics.smartphone"/>
    <s v="samsung"/>
    <n v="193.26"/>
    <n v="566293151"/>
    <n v="4"/>
    <n v="773.04"/>
    <s v="Low"/>
    <s v="electronics"/>
  </r>
  <r>
    <x v="12"/>
    <s v="purchase"/>
    <n v="1004833"/>
    <s v="electronics.smartphone"/>
    <s v="samsung"/>
    <n v="172.23"/>
    <n v="554096532"/>
    <n v="3"/>
    <n v="516.68999999999994"/>
    <s v="Low"/>
    <s v="electronics"/>
  </r>
  <r>
    <x v="12"/>
    <s v="purchase"/>
    <n v="1004833"/>
    <s v="electronics.smartphone"/>
    <s v="samsung"/>
    <n v="172.23"/>
    <n v="543264125"/>
    <n v="5"/>
    <n v="861.15"/>
    <s v="Low"/>
    <s v="electronics"/>
  </r>
  <r>
    <x v="1"/>
    <s v="purchase"/>
    <n v="1004833"/>
    <s v="electronics.smartphone"/>
    <s v="samsung"/>
    <n v="172.23"/>
    <n v="564549977"/>
    <n v="4"/>
    <n v="688.92"/>
    <s v="Low"/>
    <s v="electronics"/>
  </r>
  <r>
    <x v="12"/>
    <s v="purchase"/>
    <n v="1004833"/>
    <s v="electronics.smartphone"/>
    <s v="samsung"/>
    <n v="172.23"/>
    <n v="542633023"/>
    <n v="3"/>
    <n v="516.68999999999994"/>
    <s v="Low"/>
    <s v="electronics"/>
  </r>
  <r>
    <x v="13"/>
    <s v="purchase"/>
    <n v="1004833"/>
    <s v="electronics.smartphone"/>
    <s v="samsung"/>
    <n v="172.23"/>
    <n v="562614956"/>
    <n v="1"/>
    <n v="172.23"/>
    <s v="Low"/>
    <s v="electronics"/>
  </r>
  <r>
    <x v="0"/>
    <s v="purchase"/>
    <n v="1004833"/>
    <s v="electronics.smartphone"/>
    <s v="samsung"/>
    <n v="172.23"/>
    <n v="557760558"/>
    <n v="5"/>
    <n v="861.15"/>
    <s v="Low"/>
    <s v="electronics"/>
  </r>
  <r>
    <x v="6"/>
    <s v="purchase"/>
    <n v="1004833"/>
    <s v="electronics.smartphone"/>
    <s v="samsung"/>
    <n v="172.23"/>
    <n v="557760558"/>
    <n v="2"/>
    <n v="344.46"/>
    <s v="Low"/>
    <s v="electronics"/>
  </r>
  <r>
    <x v="4"/>
    <s v="purchase"/>
    <n v="1004833"/>
    <s v="electronics.smartphone"/>
    <s v="samsung"/>
    <n v="172.23"/>
    <n v="557760558"/>
    <n v="2"/>
    <n v="344.46"/>
    <s v="Low"/>
    <s v="electronics"/>
  </r>
  <r>
    <x v="10"/>
    <s v="purchase"/>
    <n v="1004833"/>
    <s v="electronics.smartphone"/>
    <s v="samsung"/>
    <n v="172.23"/>
    <n v="557760558"/>
    <n v="3"/>
    <n v="516.68999999999994"/>
    <s v="Low"/>
    <s v="electronics"/>
  </r>
  <r>
    <x v="13"/>
    <s v="purchase"/>
    <n v="1004833"/>
    <s v="electronics.smartphone"/>
    <s v="samsung"/>
    <n v="172.23"/>
    <n v="564133858"/>
    <n v="2"/>
    <n v="344.46"/>
    <s v="Low"/>
    <s v="electronics"/>
  </r>
  <r>
    <x v="5"/>
    <s v="purchase"/>
    <n v="1004833"/>
    <s v="electronics.smartphone"/>
    <s v="samsung"/>
    <n v="172.23"/>
    <n v="557760558"/>
    <n v="2"/>
    <n v="344.46"/>
    <s v="Low"/>
    <s v="electronics"/>
  </r>
  <r>
    <x v="2"/>
    <s v="purchase"/>
    <n v="1004833"/>
    <s v="electronics.smartphone"/>
    <s v="samsung"/>
    <n v="172.23"/>
    <n v="555663594"/>
    <n v="2"/>
    <n v="344.46"/>
    <s v="Low"/>
    <s v="electronics"/>
  </r>
  <r>
    <x v="4"/>
    <s v="purchase"/>
    <n v="1004833"/>
    <s v="electronics.smartphone"/>
    <s v="samsung"/>
    <n v="172.23"/>
    <n v="543455415"/>
    <n v="2"/>
    <n v="344.46"/>
    <s v="Low"/>
    <s v="electronics"/>
  </r>
  <r>
    <x v="5"/>
    <s v="purchase"/>
    <n v="1004833"/>
    <s v="electronics.smartphone"/>
    <s v="samsung"/>
    <n v="172.23"/>
    <n v="542901438"/>
    <n v="4"/>
    <n v="688.92"/>
    <s v="Low"/>
    <s v="electronics"/>
  </r>
  <r>
    <x v="7"/>
    <s v="purchase"/>
    <n v="1004833"/>
    <s v="electronics.smartphone"/>
    <s v="samsung"/>
    <n v="172.23"/>
    <n v="564392703"/>
    <n v="2"/>
    <n v="344.46"/>
    <s v="Low"/>
    <s v="electronics"/>
  </r>
  <r>
    <x v="10"/>
    <s v="purchase"/>
    <n v="26403693"/>
    <s v="Other"/>
    <s v="Other"/>
    <n v="158.05000000000001"/>
    <n v="512432653"/>
    <n v="3"/>
    <n v="474.15000000000003"/>
    <s v="Low"/>
    <s v="Other"/>
  </r>
  <r>
    <x v="6"/>
    <s v="purchase"/>
    <n v="17300588"/>
    <s v="Other"/>
    <s v="dior"/>
    <n v="154.44"/>
    <n v="538954617"/>
    <n v="1"/>
    <n v="154.44"/>
    <s v="Low"/>
    <s v="Other"/>
  </r>
  <r>
    <x v="9"/>
    <s v="purchase"/>
    <n v="1600153"/>
    <s v="computers.peripherals.printer"/>
    <s v="xerox"/>
    <n v="154.19"/>
    <n v="559851632"/>
    <n v="3"/>
    <n v="462.57"/>
    <s v="Low"/>
    <s v="computers"/>
  </r>
  <r>
    <x v="5"/>
    <s v="purchase"/>
    <n v="13300174"/>
    <s v="Other"/>
    <s v="askona"/>
    <n v="154.19"/>
    <n v="513307180"/>
    <n v="4"/>
    <n v="616.76"/>
    <s v="Low"/>
    <s v="Other"/>
  </r>
  <r>
    <x v="12"/>
    <s v="purchase"/>
    <n v="2900583"/>
    <s v="appliances.kitchen.microwave"/>
    <s v="electrolux"/>
    <n v="154.16"/>
    <n v="514217834"/>
    <n v="2"/>
    <n v="308.32"/>
    <s v="Low"/>
    <s v="appliances"/>
  </r>
  <r>
    <x v="0"/>
    <s v="purchase"/>
    <n v="1004833"/>
    <s v="electronics.smartphone"/>
    <s v="samsung"/>
    <n v="172.23"/>
    <n v="545231821"/>
    <n v="2"/>
    <n v="344.46"/>
    <s v="Low"/>
    <s v="electronics"/>
  </r>
  <r>
    <x v="11"/>
    <s v="purchase"/>
    <n v="1005233"/>
    <s v="electronics.smartphone"/>
    <s v="xiaomi"/>
    <n v="151.1"/>
    <n v="540333445"/>
    <n v="2"/>
    <n v="302.2"/>
    <s v="Low"/>
    <s v="electronics"/>
  </r>
  <r>
    <x v="2"/>
    <s v="purchase"/>
    <n v="1005204"/>
    <s v="electronics.smartphone"/>
    <s v="xiaomi"/>
    <n v="150.97"/>
    <n v="513538812"/>
    <n v="3"/>
    <n v="452.90999999999997"/>
    <s v="Low"/>
    <s v="electronics"/>
  </r>
  <r>
    <x v="14"/>
    <s v="purchase"/>
    <n v="1005204"/>
    <s v="electronics.smartphone"/>
    <s v="xiaomi"/>
    <n v="150.97"/>
    <n v="554369005"/>
    <n v="2"/>
    <n v="301.94"/>
    <s v="Low"/>
    <s v="electronics"/>
  </r>
  <r>
    <x v="5"/>
    <s v="purchase"/>
    <n v="1005204"/>
    <s v="electronics.smartphone"/>
    <s v="xiaomi"/>
    <n v="150.97"/>
    <n v="532026926"/>
    <n v="2"/>
    <n v="301.94"/>
    <s v="Low"/>
    <s v="electronics"/>
  </r>
  <r>
    <x v="4"/>
    <s v="purchase"/>
    <n v="12300231"/>
    <s v="construction.tools.drill"/>
    <s v="dewalt"/>
    <n v="150.94999999999999"/>
    <n v="520203526"/>
    <n v="2"/>
    <n v="301.89999999999998"/>
    <s v="Low"/>
    <s v="construction"/>
  </r>
  <r>
    <x v="6"/>
    <s v="purchase"/>
    <n v="2800666"/>
    <s v="appliances.kitchen.refrigerators"/>
    <s v="Other"/>
    <n v="150.04"/>
    <n v="518805424"/>
    <n v="4"/>
    <n v="600.16"/>
    <s v="Low"/>
    <s v="appliances"/>
  </r>
  <r>
    <x v="2"/>
    <s v="purchase"/>
    <n v="1801766"/>
    <s v="electronics.video.tv"/>
    <s v="artel"/>
    <n v="146.85"/>
    <n v="555564408"/>
    <n v="3"/>
    <n v="440.54999999999995"/>
    <s v="Low"/>
    <s v="electronics"/>
  </r>
  <r>
    <x v="13"/>
    <s v="purchase"/>
    <n v="5000118"/>
    <s v="appliances.sewing_machine"/>
    <s v="janome"/>
    <n v="145.36000000000001"/>
    <n v="553657893"/>
    <n v="5"/>
    <n v="726.80000000000007"/>
    <s v="Low"/>
    <s v="appliances"/>
  </r>
  <r>
    <x v="3"/>
    <s v="purchase"/>
    <n v="5701166"/>
    <s v="auto.accessories.player"/>
    <s v="Other"/>
    <n v="144.12"/>
    <n v="558081494"/>
    <n v="1"/>
    <n v="144.12"/>
    <s v="Low"/>
    <s v="auto"/>
  </r>
  <r>
    <x v="10"/>
    <s v="purchase"/>
    <n v="1005256"/>
    <s v="electronics.smartphone"/>
    <s v="xiaomi"/>
    <n v="142.84"/>
    <n v="518679035"/>
    <n v="4"/>
    <n v="571.36"/>
    <s v="Low"/>
    <s v="electronics"/>
  </r>
  <r>
    <x v="3"/>
    <s v="purchase"/>
    <n v="3200388"/>
    <s v="appliances.kitchen.meat_grinder"/>
    <s v="moulinex"/>
    <n v="141.55000000000001"/>
    <n v="533766790"/>
    <n v="5"/>
    <n v="707.75"/>
    <s v="Low"/>
    <s v="appliances"/>
  </r>
  <r>
    <x v="11"/>
    <s v="purchase"/>
    <n v="1004026"/>
    <s v="electronics.smartphone"/>
    <s v="xiaomi"/>
    <n v="140.82"/>
    <n v="556926861"/>
    <n v="5"/>
    <n v="704.09999999999991"/>
    <s v="Low"/>
    <s v="electronics"/>
  </r>
  <r>
    <x v="14"/>
    <s v="purchase"/>
    <n v="1004833"/>
    <s v="electronics.smartphone"/>
    <s v="samsung"/>
    <n v="172.23"/>
    <n v="562522952"/>
    <n v="1"/>
    <n v="172.23"/>
    <s v="Low"/>
    <s v="electronics"/>
  </r>
  <r>
    <x v="0"/>
    <s v="purchase"/>
    <n v="1004834"/>
    <s v="electronics.smartphone"/>
    <s v="samsung"/>
    <n v="172.22"/>
    <n v="513376954"/>
    <n v="1"/>
    <n v="172.22"/>
    <s v="Low"/>
    <s v="electronics"/>
  </r>
  <r>
    <x v="5"/>
    <s v="purchase"/>
    <n v="1201504"/>
    <s v="electronics.tablet"/>
    <s v="samsung"/>
    <n v="154.16"/>
    <n v="515849878"/>
    <n v="4"/>
    <n v="616.64"/>
    <s v="Low"/>
    <s v="electronics"/>
  </r>
  <r>
    <x v="10"/>
    <s v="purchase"/>
    <n v="1005100"/>
    <s v="electronics.smartphone"/>
    <s v="samsung"/>
    <n v="139.68"/>
    <n v="548614053"/>
    <n v="1"/>
    <n v="139.68"/>
    <s v="Low"/>
    <s v="electronics"/>
  </r>
  <r>
    <x v="2"/>
    <s v="purchase"/>
    <n v="1005100"/>
    <s v="electronics.smartphone"/>
    <s v="samsung"/>
    <n v="139.68"/>
    <n v="529871962"/>
    <n v="4"/>
    <n v="558.72"/>
    <s v="Low"/>
    <s v="electronics"/>
  </r>
  <r>
    <x v="3"/>
    <s v="purchase"/>
    <n v="1005100"/>
    <s v="electronics.smartphone"/>
    <s v="samsung"/>
    <n v="139.68"/>
    <n v="547422663"/>
    <n v="5"/>
    <n v="698.40000000000009"/>
    <s v="Low"/>
    <s v="electronics"/>
  </r>
  <r>
    <x v="12"/>
    <s v="purchase"/>
    <n v="1005100"/>
    <s v="electronics.smartphone"/>
    <s v="samsung"/>
    <n v="139.68"/>
    <n v="547834029"/>
    <n v="4"/>
    <n v="558.72"/>
    <s v="Low"/>
    <s v="electronics"/>
  </r>
  <r>
    <x v="7"/>
    <s v="purchase"/>
    <n v="1005100"/>
    <s v="electronics.smartphone"/>
    <s v="samsung"/>
    <n v="139.68"/>
    <n v="513579341"/>
    <n v="2"/>
    <n v="279.36"/>
    <s v="Low"/>
    <s v="electronics"/>
  </r>
  <r>
    <x v="8"/>
    <s v="purchase"/>
    <n v="1005100"/>
    <s v="electronics.smartphone"/>
    <s v="samsung"/>
    <n v="139.68"/>
    <n v="560860500"/>
    <n v="3"/>
    <n v="419.04"/>
    <s v="Low"/>
    <s v="electronics"/>
  </r>
  <r>
    <x v="12"/>
    <s v="purchase"/>
    <n v="1005100"/>
    <s v="electronics.smartphone"/>
    <s v="samsung"/>
    <n v="139.68"/>
    <n v="558819107"/>
    <n v="4"/>
    <n v="558.72"/>
    <s v="Low"/>
    <s v="electronics"/>
  </r>
  <r>
    <x v="14"/>
    <s v="purchase"/>
    <n v="1005100"/>
    <s v="electronics.smartphone"/>
    <s v="samsung"/>
    <n v="139.68"/>
    <n v="530038524"/>
    <n v="4"/>
    <n v="558.72"/>
    <s v="Low"/>
    <s v="electronics"/>
  </r>
  <r>
    <x v="3"/>
    <s v="purchase"/>
    <n v="1005100"/>
    <s v="electronics.smartphone"/>
    <s v="samsung"/>
    <n v="139.68"/>
    <n v="558057992"/>
    <n v="3"/>
    <n v="419.04"/>
    <s v="Low"/>
    <s v="electronics"/>
  </r>
  <r>
    <x v="6"/>
    <s v="purchase"/>
    <n v="1005100"/>
    <s v="electronics.smartphone"/>
    <s v="samsung"/>
    <n v="139.68"/>
    <n v="558070827"/>
    <n v="3"/>
    <n v="419.04"/>
    <s v="Low"/>
    <s v="electronics"/>
  </r>
  <r>
    <x v="8"/>
    <s v="purchase"/>
    <n v="1005098"/>
    <s v="electronics.smartphone"/>
    <s v="samsung"/>
    <n v="139.63999999999999"/>
    <n v="566018135"/>
    <n v="1"/>
    <n v="139.63999999999999"/>
    <s v="Low"/>
    <s v="electronics"/>
  </r>
  <r>
    <x v="14"/>
    <s v="purchase"/>
    <n v="1005098"/>
    <s v="electronics.smartphone"/>
    <s v="samsung"/>
    <n v="139.63999999999999"/>
    <n v="555843679"/>
    <n v="1"/>
    <n v="139.63999999999999"/>
    <s v="Low"/>
    <s v="electronics"/>
  </r>
  <r>
    <x v="1"/>
    <s v="purchase"/>
    <n v="1004788"/>
    <s v="electronics.smartphone"/>
    <s v="xiaomi"/>
    <n v="138.71"/>
    <n v="565688911"/>
    <n v="1"/>
    <n v="138.71"/>
    <s v="Low"/>
    <s v="electronics"/>
  </r>
  <r>
    <x v="11"/>
    <s v="purchase"/>
    <n v="1004788"/>
    <s v="electronics.smartphone"/>
    <s v="xiaomi"/>
    <n v="138.71"/>
    <n v="566292457"/>
    <n v="5"/>
    <n v="693.55000000000007"/>
    <s v="Low"/>
    <s v="electronics"/>
  </r>
  <r>
    <x v="10"/>
    <s v="purchase"/>
    <n v="1005266"/>
    <s v="electronics.smartphone"/>
    <s v="xiaomi"/>
    <n v="137.18"/>
    <n v="523701254"/>
    <n v="4"/>
    <n v="548.72"/>
    <s v="Low"/>
    <s v="electronics"/>
  </r>
  <r>
    <x v="8"/>
    <s v="purchase"/>
    <n v="1004205"/>
    <s v="electronics.smartphone"/>
    <s v="xiaomi"/>
    <n v="136.16999999999999"/>
    <n v="536276853"/>
    <n v="3"/>
    <n v="408.51"/>
    <s v="Low"/>
    <s v="electronics"/>
  </r>
  <r>
    <x v="3"/>
    <s v="purchase"/>
    <n v="1004777"/>
    <s v="electronics.smartphone"/>
    <s v="xiaomi"/>
    <n v="135.01"/>
    <n v="527700673"/>
    <n v="2"/>
    <n v="270.02"/>
    <s v="Low"/>
    <s v="electronics"/>
  </r>
  <r>
    <x v="13"/>
    <s v="purchase"/>
    <n v="1004777"/>
    <s v="electronics.smartphone"/>
    <s v="xiaomi"/>
    <n v="135.01"/>
    <n v="530337676"/>
    <n v="1"/>
    <n v="135.01"/>
    <s v="Low"/>
    <s v="electronics"/>
  </r>
  <r>
    <x v="8"/>
    <s v="purchase"/>
    <n v="5801656"/>
    <s v="electronics.audio.subwoofer"/>
    <s v="element"/>
    <n v="133.83000000000001"/>
    <n v="521720970"/>
    <n v="3"/>
    <n v="401.49"/>
    <s v="Low"/>
    <s v="electronics"/>
  </r>
  <r>
    <x v="3"/>
    <s v="purchase"/>
    <n v="1005099"/>
    <s v="electronics.smartphone"/>
    <s v="samsung"/>
    <n v="139.63999999999999"/>
    <n v="530337676"/>
    <n v="2"/>
    <n v="279.27999999999997"/>
    <s v="Low"/>
    <s v="electronics"/>
  </r>
  <r>
    <x v="13"/>
    <s v="purchase"/>
    <n v="1005099"/>
    <s v="electronics.smartphone"/>
    <s v="samsung"/>
    <n v="139.63999999999999"/>
    <n v="530337676"/>
    <n v="4"/>
    <n v="558.55999999999995"/>
    <s v="Low"/>
    <s v="electronics"/>
  </r>
  <r>
    <x v="2"/>
    <s v="purchase"/>
    <n v="1005098"/>
    <s v="electronics.smartphone"/>
    <s v="samsung"/>
    <n v="139.63999999999999"/>
    <n v="558339079"/>
    <n v="4"/>
    <n v="558.55999999999995"/>
    <s v="Low"/>
    <s v="electronics"/>
  </r>
  <r>
    <x v="8"/>
    <s v="purchase"/>
    <n v="1004887"/>
    <s v="electronics.smartphone"/>
    <s v="oppo"/>
    <n v="128.68"/>
    <n v="519233119"/>
    <n v="4"/>
    <n v="514.72"/>
    <s v="Low"/>
    <s v="electronics"/>
  </r>
  <r>
    <x v="2"/>
    <s v="purchase"/>
    <n v="1004887"/>
    <s v="electronics.smartphone"/>
    <s v="oppo"/>
    <n v="128.68"/>
    <n v="566216449"/>
    <n v="4"/>
    <n v="514.72"/>
    <s v="Low"/>
    <s v="electronics"/>
  </r>
  <r>
    <x v="1"/>
    <s v="purchase"/>
    <n v="1004858"/>
    <s v="electronics.smartphone"/>
    <s v="samsung"/>
    <n v="131.53"/>
    <n v="560277471"/>
    <n v="5"/>
    <n v="657.65"/>
    <s v="Low"/>
    <s v="electronics"/>
  </r>
  <r>
    <x v="9"/>
    <s v="purchase"/>
    <n v="1004858"/>
    <s v="electronics.smartphone"/>
    <s v="samsung"/>
    <n v="131.53"/>
    <n v="516867725"/>
    <n v="5"/>
    <n v="657.65"/>
    <s v="Low"/>
    <s v="electronics"/>
  </r>
  <r>
    <x v="0"/>
    <s v="purchase"/>
    <n v="1004858"/>
    <s v="electronics.smartphone"/>
    <s v="samsung"/>
    <n v="131.53"/>
    <n v="513199333"/>
    <n v="5"/>
    <n v="657.65"/>
    <s v="Low"/>
    <s v="electronics"/>
  </r>
  <r>
    <x v="11"/>
    <s v="purchase"/>
    <n v="1004856"/>
    <s v="electronics.smartphone"/>
    <s v="samsung"/>
    <n v="128.41999999999999"/>
    <n v="562958505"/>
    <n v="2"/>
    <n v="256.83999999999997"/>
    <s v="Low"/>
    <s v="electronics"/>
  </r>
  <r>
    <x v="12"/>
    <s v="purchase"/>
    <n v="1004856"/>
    <s v="electronics.smartphone"/>
    <s v="samsung"/>
    <n v="128.41999999999999"/>
    <n v="513645631"/>
    <n v="2"/>
    <n v="256.83999999999997"/>
    <s v="Low"/>
    <s v="electronics"/>
  </r>
  <r>
    <x v="1"/>
    <s v="purchase"/>
    <n v="1004856"/>
    <s v="electronics.smartphone"/>
    <s v="samsung"/>
    <n v="128.41999999999999"/>
    <n v="552335155"/>
    <n v="2"/>
    <n v="256.83999999999997"/>
    <s v="Low"/>
    <s v="electronics"/>
  </r>
  <r>
    <x v="11"/>
    <s v="purchase"/>
    <n v="1004856"/>
    <s v="electronics.smartphone"/>
    <s v="samsung"/>
    <n v="128.41999999999999"/>
    <n v="562301215"/>
    <n v="4"/>
    <n v="513.67999999999995"/>
    <s v="Low"/>
    <s v="electronics"/>
  </r>
  <r>
    <x v="1"/>
    <s v="purchase"/>
    <n v="1004856"/>
    <s v="electronics.smartphone"/>
    <s v="samsung"/>
    <n v="128.41999999999999"/>
    <n v="534820779"/>
    <n v="4"/>
    <n v="513.67999999999995"/>
    <s v="Low"/>
    <s v="electronics"/>
  </r>
  <r>
    <x v="13"/>
    <s v="purchase"/>
    <n v="1004856"/>
    <s v="electronics.smartphone"/>
    <s v="samsung"/>
    <n v="128.41999999999999"/>
    <n v="543272936"/>
    <n v="4"/>
    <n v="513.67999999999995"/>
    <s v="Low"/>
    <s v="electronics"/>
  </r>
  <r>
    <x v="13"/>
    <s v="purchase"/>
    <n v="1004856"/>
    <s v="electronics.smartphone"/>
    <s v="samsung"/>
    <n v="128.41999999999999"/>
    <n v="557016168"/>
    <n v="2"/>
    <n v="256.83999999999997"/>
    <s v="Low"/>
    <s v="electronics"/>
  </r>
  <r>
    <x v="13"/>
    <s v="purchase"/>
    <n v="1004856"/>
    <s v="electronics.smartphone"/>
    <s v="samsung"/>
    <n v="128.41999999999999"/>
    <n v="566289937"/>
    <n v="3"/>
    <n v="385.26"/>
    <s v="Low"/>
    <s v="electronics"/>
  </r>
  <r>
    <x v="5"/>
    <s v="purchase"/>
    <n v="1004857"/>
    <s v="electronics.smartphone"/>
    <s v="samsung"/>
    <n v="128.41999999999999"/>
    <n v="514405513"/>
    <n v="2"/>
    <n v="256.83999999999997"/>
    <s v="Low"/>
    <s v="electronics"/>
  </r>
  <r>
    <x v="11"/>
    <s v="purchase"/>
    <n v="1004856"/>
    <s v="electronics.smartphone"/>
    <s v="samsung"/>
    <n v="128.41999999999999"/>
    <n v="549527991"/>
    <n v="3"/>
    <n v="385.26"/>
    <s v="Low"/>
    <s v="electronics"/>
  </r>
  <r>
    <x v="6"/>
    <s v="purchase"/>
    <n v="1004856"/>
    <s v="electronics.smartphone"/>
    <s v="samsung"/>
    <n v="128.41999999999999"/>
    <n v="559024625"/>
    <n v="2"/>
    <n v="256.83999999999997"/>
    <s v="Low"/>
    <s v="electronics"/>
  </r>
  <r>
    <x v="6"/>
    <s v="purchase"/>
    <n v="1004856"/>
    <s v="electronics.smartphone"/>
    <s v="samsung"/>
    <n v="128.41999999999999"/>
    <n v="559396643"/>
    <n v="5"/>
    <n v="642.09999999999991"/>
    <s v="Low"/>
    <s v="electronics"/>
  </r>
  <r>
    <x v="12"/>
    <s v="purchase"/>
    <n v="1004856"/>
    <s v="electronics.smartphone"/>
    <s v="samsung"/>
    <n v="128.41999999999999"/>
    <n v="524130391"/>
    <n v="1"/>
    <n v="128.41999999999999"/>
    <s v="Low"/>
    <s v="electronics"/>
  </r>
  <r>
    <x v="12"/>
    <s v="purchase"/>
    <n v="1004856"/>
    <s v="electronics.smartphone"/>
    <s v="samsung"/>
    <n v="128.41999999999999"/>
    <n v="543691173"/>
    <n v="1"/>
    <n v="128.41999999999999"/>
    <s v="Low"/>
    <s v="electronics"/>
  </r>
  <r>
    <x v="5"/>
    <s v="purchase"/>
    <n v="1004856"/>
    <s v="electronics.smartphone"/>
    <s v="samsung"/>
    <n v="128.41999999999999"/>
    <n v="565626042"/>
    <n v="1"/>
    <n v="128.41999999999999"/>
    <s v="Low"/>
    <s v="electronics"/>
  </r>
  <r>
    <x v="6"/>
    <s v="purchase"/>
    <n v="1004856"/>
    <s v="electronics.smartphone"/>
    <s v="samsung"/>
    <n v="128.41999999999999"/>
    <n v="523238909"/>
    <n v="4"/>
    <n v="513.67999999999995"/>
    <s v="Low"/>
    <s v="electronics"/>
  </r>
  <r>
    <x v="8"/>
    <s v="purchase"/>
    <n v="1004856"/>
    <s v="electronics.smartphone"/>
    <s v="samsung"/>
    <n v="128.41999999999999"/>
    <n v="564549977"/>
    <n v="3"/>
    <n v="385.26"/>
    <s v="Low"/>
    <s v="electronics"/>
  </r>
  <r>
    <x v="0"/>
    <s v="purchase"/>
    <n v="1004856"/>
    <s v="electronics.smartphone"/>
    <s v="samsung"/>
    <n v="128.41999999999999"/>
    <n v="556688434"/>
    <n v="5"/>
    <n v="642.09999999999991"/>
    <s v="Low"/>
    <s v="electronics"/>
  </r>
  <r>
    <x v="4"/>
    <s v="purchase"/>
    <n v="1004856"/>
    <s v="electronics.smartphone"/>
    <s v="samsung"/>
    <n v="128.41999999999999"/>
    <n v="523238909"/>
    <n v="3"/>
    <n v="385.26"/>
    <s v="Low"/>
    <s v="electronics"/>
  </r>
  <r>
    <x v="5"/>
    <s v="purchase"/>
    <n v="1004856"/>
    <s v="electronics.smartphone"/>
    <s v="samsung"/>
    <n v="128.41999999999999"/>
    <n v="564133858"/>
    <n v="5"/>
    <n v="642.09999999999991"/>
    <s v="Low"/>
    <s v="electronics"/>
  </r>
  <r>
    <x v="10"/>
    <s v="purchase"/>
    <n v="1004856"/>
    <s v="electronics.smartphone"/>
    <s v="samsung"/>
    <n v="128.41999999999999"/>
    <n v="546956050"/>
    <n v="1"/>
    <n v="128.41999999999999"/>
    <s v="Low"/>
    <s v="electronics"/>
  </r>
  <r>
    <x v="9"/>
    <s v="purchase"/>
    <n v="1004856"/>
    <s v="electronics.smartphone"/>
    <s v="samsung"/>
    <n v="128.41999999999999"/>
    <n v="563572407"/>
    <n v="5"/>
    <n v="642.09999999999991"/>
    <s v="Low"/>
    <s v="electronics"/>
  </r>
  <r>
    <x v="2"/>
    <s v="purchase"/>
    <n v="1004856"/>
    <s v="electronics.smartphone"/>
    <s v="samsung"/>
    <n v="128.41999999999999"/>
    <n v="519128349"/>
    <n v="2"/>
    <n v="256.83999999999997"/>
    <s v="Low"/>
    <s v="electronics"/>
  </r>
  <r>
    <x v="9"/>
    <s v="purchase"/>
    <n v="1004856"/>
    <s v="electronics.smartphone"/>
    <s v="samsung"/>
    <n v="128.41999999999999"/>
    <n v="516487172"/>
    <n v="1"/>
    <n v="128.41999999999999"/>
    <s v="Low"/>
    <s v="electronics"/>
  </r>
  <r>
    <x v="11"/>
    <s v="purchase"/>
    <n v="1004856"/>
    <s v="electronics.smartphone"/>
    <s v="samsung"/>
    <n v="128.41999999999999"/>
    <n v="516239312"/>
    <n v="2"/>
    <n v="256.83999999999997"/>
    <s v="Low"/>
    <s v="electronics"/>
  </r>
  <r>
    <x v="12"/>
    <s v="purchase"/>
    <n v="1004856"/>
    <s v="electronics.smartphone"/>
    <s v="samsung"/>
    <n v="128.41999999999999"/>
    <n v="547070830"/>
    <n v="1"/>
    <n v="128.41999999999999"/>
    <s v="Low"/>
    <s v="electronics"/>
  </r>
  <r>
    <x v="1"/>
    <s v="purchase"/>
    <n v="1004856"/>
    <s v="electronics.smartphone"/>
    <s v="samsung"/>
    <n v="128.41999999999999"/>
    <n v="538473314"/>
    <n v="4"/>
    <n v="513.67999999999995"/>
    <s v="Low"/>
    <s v="electronics"/>
  </r>
  <r>
    <x v="5"/>
    <s v="purchase"/>
    <n v="1004856"/>
    <s v="electronics.smartphone"/>
    <s v="samsung"/>
    <n v="128.41999999999999"/>
    <n v="565612044"/>
    <n v="5"/>
    <n v="642.09999999999991"/>
    <s v="Low"/>
    <s v="electronics"/>
  </r>
  <r>
    <x v="0"/>
    <s v="purchase"/>
    <n v="1004856"/>
    <s v="electronics.smartphone"/>
    <s v="samsung"/>
    <n v="128.41999999999999"/>
    <n v="560828134"/>
    <n v="4"/>
    <n v="513.67999999999995"/>
    <s v="Low"/>
    <s v="electronics"/>
  </r>
  <r>
    <x v="12"/>
    <s v="purchase"/>
    <n v="1004857"/>
    <s v="electronics.smartphone"/>
    <s v="samsung"/>
    <n v="128.41999999999999"/>
    <n v="543647716"/>
    <n v="3"/>
    <n v="385.26"/>
    <s v="Low"/>
    <s v="electronics"/>
  </r>
  <r>
    <x v="5"/>
    <s v="purchase"/>
    <n v="1004856"/>
    <s v="electronics.smartphone"/>
    <s v="samsung"/>
    <n v="128.41999999999999"/>
    <n v="560328829"/>
    <n v="3"/>
    <n v="385.26"/>
    <s v="Low"/>
    <s v="electronics"/>
  </r>
  <r>
    <x v="11"/>
    <s v="purchase"/>
    <n v="1004856"/>
    <s v="electronics.smartphone"/>
    <s v="samsung"/>
    <n v="128.41999999999999"/>
    <n v="514647259"/>
    <n v="1"/>
    <n v="128.41999999999999"/>
    <s v="Low"/>
    <s v="electronics"/>
  </r>
  <r>
    <x v="9"/>
    <s v="purchase"/>
    <n v="1004856"/>
    <s v="electronics.smartphone"/>
    <s v="samsung"/>
    <n v="128.41999999999999"/>
    <n v="566302095"/>
    <n v="1"/>
    <n v="128.41999999999999"/>
    <s v="Low"/>
    <s v="electronics"/>
  </r>
  <r>
    <x v="0"/>
    <s v="purchase"/>
    <n v="1004856"/>
    <s v="electronics.smartphone"/>
    <s v="samsung"/>
    <n v="128.41999999999999"/>
    <n v="559668218"/>
    <n v="2"/>
    <n v="256.83999999999997"/>
    <s v="Low"/>
    <s v="electronics"/>
  </r>
  <r>
    <x v="7"/>
    <s v="purchase"/>
    <n v="1004856"/>
    <s v="electronics.smartphone"/>
    <s v="samsung"/>
    <n v="128.41999999999999"/>
    <n v="542368013"/>
    <n v="2"/>
    <n v="256.83999999999997"/>
    <s v="Low"/>
    <s v="electronics"/>
  </r>
  <r>
    <x v="0"/>
    <s v="purchase"/>
    <n v="1004857"/>
    <s v="electronics.smartphone"/>
    <s v="samsung"/>
    <n v="128.41999999999999"/>
    <n v="517025960"/>
    <n v="5"/>
    <n v="642.09999999999991"/>
    <s v="Low"/>
    <s v="electronics"/>
  </r>
  <r>
    <x v="6"/>
    <s v="purchase"/>
    <n v="1004856"/>
    <s v="electronics.smartphone"/>
    <s v="samsung"/>
    <n v="128.41999999999999"/>
    <n v="550726115"/>
    <n v="5"/>
    <n v="642.09999999999991"/>
    <s v="Low"/>
    <s v="electronics"/>
  </r>
  <r>
    <x v="13"/>
    <s v="purchase"/>
    <n v="1004856"/>
    <s v="electronics.smartphone"/>
    <s v="samsung"/>
    <n v="128.41999999999999"/>
    <n v="562522952"/>
    <n v="3"/>
    <n v="385.26"/>
    <s v="Low"/>
    <s v="electronics"/>
  </r>
  <r>
    <x v="2"/>
    <s v="purchase"/>
    <n v="1004856"/>
    <s v="electronics.smartphone"/>
    <s v="samsung"/>
    <n v="128.41999999999999"/>
    <n v="543272936"/>
    <n v="5"/>
    <n v="642.09999999999991"/>
    <s v="Low"/>
    <s v="electronics"/>
  </r>
  <r>
    <x v="1"/>
    <s v="purchase"/>
    <n v="1004856"/>
    <s v="electronics.smartphone"/>
    <s v="samsung"/>
    <n v="128.41999999999999"/>
    <n v="548096901"/>
    <n v="1"/>
    <n v="128.41999999999999"/>
    <s v="Low"/>
    <s v="electronics"/>
  </r>
  <r>
    <x v="7"/>
    <s v="purchase"/>
    <n v="1004856"/>
    <s v="electronics.smartphone"/>
    <s v="samsung"/>
    <n v="128.41999999999999"/>
    <n v="566303863"/>
    <n v="2"/>
    <n v="256.83999999999997"/>
    <s v="Low"/>
    <s v="electronics"/>
  </r>
  <r>
    <x v="3"/>
    <s v="purchase"/>
    <n v="1004856"/>
    <s v="electronics.smartphone"/>
    <s v="samsung"/>
    <n v="128.41999999999999"/>
    <n v="556084439"/>
    <n v="1"/>
    <n v="128.41999999999999"/>
    <s v="Low"/>
    <s v="electronics"/>
  </r>
  <r>
    <x v="0"/>
    <s v="purchase"/>
    <n v="2401760"/>
    <s v="appliances.kitchen.hood"/>
    <s v="midea"/>
    <n v="127.39"/>
    <n v="516725758"/>
    <n v="2"/>
    <n v="254.78"/>
    <s v="Low"/>
    <s v="appliances"/>
  </r>
  <r>
    <x v="14"/>
    <s v="purchase"/>
    <n v="1004723"/>
    <s v="electronics.smartphone"/>
    <s v="huawei"/>
    <n v="125.61"/>
    <n v="534771396"/>
    <n v="4"/>
    <n v="502.44"/>
    <s v="Low"/>
    <s v="electronics"/>
  </r>
  <r>
    <x v="13"/>
    <s v="purchase"/>
    <n v="1004720"/>
    <s v="electronics.smartphone"/>
    <s v="huawei"/>
    <n v="125.61"/>
    <n v="565965506"/>
    <n v="4"/>
    <n v="502.44"/>
    <s v="Low"/>
    <s v="electronics"/>
  </r>
  <r>
    <x v="13"/>
    <s v="purchase"/>
    <n v="1004720"/>
    <s v="electronics.smartphone"/>
    <s v="huawei"/>
    <n v="125.61"/>
    <n v="512823102"/>
    <n v="1"/>
    <n v="125.61"/>
    <s v="Low"/>
    <s v="electronics"/>
  </r>
  <r>
    <x v="1"/>
    <s v="purchase"/>
    <n v="26403418"/>
    <s v="Other"/>
    <s v="Other"/>
    <n v="123.81"/>
    <n v="543351869"/>
    <n v="5"/>
    <n v="619.04999999999995"/>
    <s v="Low"/>
    <s v="Other"/>
  </r>
  <r>
    <x v="5"/>
    <s v="purchase"/>
    <n v="5800823"/>
    <s v="electronics.audio.subwoofer"/>
    <s v="nakamichi"/>
    <n v="123.56"/>
    <n v="514166940"/>
    <n v="5"/>
    <n v="617.79999999999995"/>
    <s v="Low"/>
    <s v="electronics"/>
  </r>
  <r>
    <x v="7"/>
    <s v="purchase"/>
    <n v="12300066"/>
    <s v="construction.tools.drill"/>
    <s v="bosch"/>
    <n v="122.14"/>
    <n v="515750054"/>
    <n v="3"/>
    <n v="366.42"/>
    <s v="Low"/>
    <s v="construction"/>
  </r>
  <r>
    <x v="6"/>
    <s v="purchase"/>
    <n v="6000094"/>
    <s v="auto.accessories.alarm"/>
    <s v="starline"/>
    <n v="121.24"/>
    <n v="513021740"/>
    <n v="1"/>
    <n v="121.24"/>
    <s v="Low"/>
    <s v="auto"/>
  </r>
  <r>
    <x v="9"/>
    <s v="purchase"/>
    <n v="38900085"/>
    <s v="Other"/>
    <s v="brw"/>
    <n v="120.98"/>
    <n v="517893800"/>
    <n v="5"/>
    <n v="604.9"/>
    <s v="Low"/>
    <s v="Other"/>
  </r>
  <r>
    <x v="4"/>
    <s v="purchase"/>
    <n v="2600164"/>
    <s v="Other"/>
    <s v="Other"/>
    <n v="120.72"/>
    <n v="566215333"/>
    <n v="4"/>
    <n v="482.88"/>
    <s v="Low"/>
    <s v="Other"/>
  </r>
  <r>
    <x v="5"/>
    <s v="purchase"/>
    <n v="12706264"/>
    <s v="Other"/>
    <s v="nokian"/>
    <n v="119.95"/>
    <n v="564890170"/>
    <n v="1"/>
    <n v="119.95"/>
    <s v="Low"/>
    <s v="Other"/>
  </r>
  <r>
    <x v="8"/>
    <s v="purchase"/>
    <n v="2601500"/>
    <s v="Other"/>
    <s v="artel"/>
    <n v="119.95"/>
    <n v="514407454"/>
    <n v="1"/>
    <n v="119.95"/>
    <s v="Low"/>
    <s v="Other"/>
  </r>
  <r>
    <x v="10"/>
    <s v="purchase"/>
    <n v="30000048"/>
    <s v="construction.tools.welding"/>
    <s v="Other"/>
    <n v="118.9"/>
    <n v="554533992"/>
    <n v="2"/>
    <n v="237.8"/>
    <s v="Low"/>
    <s v="construction"/>
  </r>
  <r>
    <x v="5"/>
    <s v="purchase"/>
    <n v="17800248"/>
    <s v="computers.desktop"/>
    <s v="zeta"/>
    <n v="118.01"/>
    <n v="516995448"/>
    <n v="5"/>
    <n v="590.05000000000007"/>
    <s v="Low"/>
    <s v="computers"/>
  </r>
  <r>
    <x v="12"/>
    <s v="purchase"/>
    <n v="28400559"/>
    <s v="accessories.bag"/>
    <s v="picard"/>
    <n v="115.83"/>
    <n v="528375191"/>
    <n v="4"/>
    <n v="463.32"/>
    <s v="Low"/>
    <s v="accessories"/>
  </r>
  <r>
    <x v="3"/>
    <s v="purchase"/>
    <n v="7101815"/>
    <s v="furniture.bedroom.bed"/>
    <s v="Other"/>
    <n v="115.81"/>
    <n v="512560016"/>
    <n v="4"/>
    <n v="463.24"/>
    <s v="Low"/>
    <s v="furniture"/>
  </r>
  <r>
    <x v="11"/>
    <s v="purchase"/>
    <n v="1701038"/>
    <s v="computers.peripherals.monitor"/>
    <s v="hp"/>
    <n v="115.58"/>
    <n v="517608836"/>
    <n v="4"/>
    <n v="462.32"/>
    <s v="Low"/>
    <s v="computers"/>
  </r>
  <r>
    <x v="12"/>
    <s v="purchase"/>
    <n v="26401452"/>
    <s v="Other"/>
    <s v="lucente"/>
    <n v="115.32"/>
    <n v="518684874"/>
    <n v="4"/>
    <n v="461.28"/>
    <s v="Low"/>
    <s v="Other"/>
  </r>
  <r>
    <x v="11"/>
    <s v="purchase"/>
    <n v="1005232"/>
    <s v="electronics.smartphone"/>
    <s v="xiaomi"/>
    <n v="114.63"/>
    <n v="550615591"/>
    <n v="4"/>
    <n v="458.52"/>
    <s v="Low"/>
    <s v="electronics"/>
  </r>
  <r>
    <x v="3"/>
    <s v="purchase"/>
    <n v="16900195"/>
    <s v="furniture.kitchen.table"/>
    <s v="Other"/>
    <n v="111.97"/>
    <n v="549596987"/>
    <n v="3"/>
    <n v="335.90999999999997"/>
    <s v="Low"/>
    <s v="furniture"/>
  </r>
  <r>
    <x v="12"/>
    <s v="purchase"/>
    <n v="26200039"/>
    <s v="Other"/>
    <s v="Other"/>
    <n v="110.68"/>
    <n v="552059880"/>
    <n v="2"/>
    <n v="221.36"/>
    <s v="Low"/>
    <s v="Other"/>
  </r>
  <r>
    <x v="9"/>
    <s v="purchase"/>
    <n v="1004856"/>
    <s v="electronics.smartphone"/>
    <s v="samsung"/>
    <n v="128.41999999999999"/>
    <n v="514938813"/>
    <n v="4"/>
    <n v="513.67999999999995"/>
    <s v="Low"/>
    <s v="electronics"/>
  </r>
  <r>
    <x v="9"/>
    <s v="purchase"/>
    <n v="1004856"/>
    <s v="electronics.smartphone"/>
    <s v="samsung"/>
    <n v="128.41999999999999"/>
    <n v="565302574"/>
    <n v="2"/>
    <n v="256.83999999999997"/>
    <s v="Low"/>
    <s v="electronics"/>
  </r>
  <r>
    <x v="14"/>
    <s v="purchase"/>
    <n v="1004856"/>
    <s v="electronics.smartphone"/>
    <s v="samsung"/>
    <n v="128.41999999999999"/>
    <n v="518339445"/>
    <n v="4"/>
    <n v="513.67999999999995"/>
    <s v="Low"/>
    <s v="electronics"/>
  </r>
  <r>
    <x v="12"/>
    <s v="purchase"/>
    <n v="26401669"/>
    <s v="Other"/>
    <s v="lucente"/>
    <n v="109.66"/>
    <n v="541854711"/>
    <n v="4"/>
    <n v="438.64"/>
    <s v="Low"/>
    <s v="Other"/>
  </r>
  <r>
    <x v="11"/>
    <s v="purchase"/>
    <n v="1200957"/>
    <s v="electronics.tablet"/>
    <s v="samsung"/>
    <n v="110.36"/>
    <n v="558099508"/>
    <n v="1"/>
    <n v="110.36"/>
    <s v="Low"/>
    <s v="electronics"/>
  </r>
  <r>
    <x v="9"/>
    <s v="purchase"/>
    <n v="1004903"/>
    <s v="electronics.smartphone"/>
    <s v="huawei"/>
    <n v="108.98"/>
    <n v="548837605"/>
    <n v="5"/>
    <n v="544.9"/>
    <s v="Low"/>
    <s v="electronics"/>
  </r>
  <r>
    <x v="12"/>
    <s v="purchase"/>
    <n v="1004903"/>
    <s v="electronics.smartphone"/>
    <s v="huawei"/>
    <n v="108.98"/>
    <n v="543574845"/>
    <n v="3"/>
    <n v="326.94"/>
    <s v="Low"/>
    <s v="electronics"/>
  </r>
  <r>
    <x v="5"/>
    <s v="purchase"/>
    <n v="41200010"/>
    <s v="Other"/>
    <s v="artmusical"/>
    <n v="108.11"/>
    <n v="513162245"/>
    <n v="1"/>
    <n v="108.11"/>
    <s v="Low"/>
    <s v="Other"/>
  </r>
  <r>
    <x v="14"/>
    <s v="purchase"/>
    <n v="1200957"/>
    <s v="electronics.tablet"/>
    <s v="samsung"/>
    <n v="110.36"/>
    <n v="556325945"/>
    <n v="2"/>
    <n v="220.72"/>
    <s v="Low"/>
    <s v="electronics"/>
  </r>
  <r>
    <x v="2"/>
    <s v="purchase"/>
    <n v="1200957"/>
    <s v="electronics.tablet"/>
    <s v="samsung"/>
    <n v="110.36"/>
    <n v="556325945"/>
    <n v="2"/>
    <n v="220.72"/>
    <s v="Low"/>
    <s v="electronics"/>
  </r>
  <r>
    <x v="2"/>
    <s v="purchase"/>
    <n v="1200947"/>
    <s v="electronics.tablet"/>
    <s v="samsung"/>
    <n v="109.36"/>
    <n v="546813052"/>
    <n v="1"/>
    <n v="109.36"/>
    <s v="Low"/>
    <s v="electronics"/>
  </r>
  <r>
    <x v="1"/>
    <s v="purchase"/>
    <n v="13300800"/>
    <s v="Other"/>
    <s v="Other"/>
    <n v="106.98"/>
    <n v="523777976"/>
    <n v="1"/>
    <n v="106.98"/>
    <s v="Low"/>
    <s v="Other"/>
  </r>
  <r>
    <x v="10"/>
    <s v="purchase"/>
    <n v="1004904"/>
    <s v="electronics.smartphone"/>
    <s v="huawei"/>
    <n v="106.54"/>
    <n v="530053888"/>
    <n v="2"/>
    <n v="213.08"/>
    <s v="Low"/>
    <s v="electronics"/>
  </r>
  <r>
    <x v="6"/>
    <s v="purchase"/>
    <n v="3900002"/>
    <s v="appliances.environment.water_heater"/>
    <s v="ariston"/>
    <n v="105.7"/>
    <n v="551495812"/>
    <n v="4"/>
    <n v="422.8"/>
    <s v="Low"/>
    <s v="appliances"/>
  </r>
  <r>
    <x v="10"/>
    <s v="purchase"/>
    <n v="3900002"/>
    <s v="appliances.environment.water_heater"/>
    <s v="ariston"/>
    <n v="105.7"/>
    <n v="537500919"/>
    <n v="5"/>
    <n v="528.5"/>
    <s v="Low"/>
    <s v="appliances"/>
  </r>
  <r>
    <x v="12"/>
    <s v="purchase"/>
    <n v="3900002"/>
    <s v="appliances.environment.water_heater"/>
    <s v="ariston"/>
    <n v="105.7"/>
    <n v="537500919"/>
    <n v="4"/>
    <n v="422.8"/>
    <s v="Low"/>
    <s v="appliances"/>
  </r>
  <r>
    <x v="1"/>
    <s v="purchase"/>
    <n v="3900002"/>
    <s v="appliances.environment.water_heater"/>
    <s v="ariston"/>
    <n v="105.7"/>
    <n v="537500919"/>
    <n v="5"/>
    <n v="528.5"/>
    <s v="Low"/>
    <s v="appliances"/>
  </r>
  <r>
    <x v="5"/>
    <s v="purchase"/>
    <n v="3900002"/>
    <s v="appliances.environment.water_heater"/>
    <s v="ariston"/>
    <n v="105.7"/>
    <n v="519382136"/>
    <n v="4"/>
    <n v="422.8"/>
    <s v="Low"/>
    <s v="appliances"/>
  </r>
  <r>
    <x v="11"/>
    <s v="purchase"/>
    <n v="3701088"/>
    <s v="appliances.environment.vacuum"/>
    <s v="bosch"/>
    <n v="105.02"/>
    <n v="557810313"/>
    <n v="2"/>
    <n v="210.04"/>
    <s v="Low"/>
    <s v="appliances"/>
  </r>
  <r>
    <x v="7"/>
    <s v="purchase"/>
    <n v="1003983"/>
    <s v="electronics.smartphone"/>
    <s v="huawei"/>
    <n v="102.94"/>
    <n v="556958704"/>
    <n v="4"/>
    <n v="411.76"/>
    <s v="Low"/>
    <s v="electronics"/>
  </r>
  <r>
    <x v="8"/>
    <s v="purchase"/>
    <n v="13400775"/>
    <s v="Other"/>
    <s v="Other"/>
    <n v="102.94"/>
    <n v="513798638"/>
    <n v="5"/>
    <n v="514.70000000000005"/>
    <s v="Low"/>
    <s v="Other"/>
  </r>
  <r>
    <x v="3"/>
    <s v="purchase"/>
    <n v="12703106"/>
    <s v="Other"/>
    <s v="maxxis"/>
    <n v="102.58"/>
    <n v="536635963"/>
    <n v="5"/>
    <n v="512.9"/>
    <s v="Low"/>
    <s v="Other"/>
  </r>
  <r>
    <x v="12"/>
    <s v="purchase"/>
    <n v="12703106"/>
    <s v="Other"/>
    <s v="maxxis"/>
    <n v="102.58"/>
    <n v="526188048"/>
    <n v="4"/>
    <n v="410.32"/>
    <s v="Low"/>
    <s v="Other"/>
  </r>
  <r>
    <x v="3"/>
    <s v="purchase"/>
    <n v="4803977"/>
    <s v="electronics.audio.headphone"/>
    <s v="samsung"/>
    <n v="107.45"/>
    <n v="557530559"/>
    <n v="5"/>
    <n v="537.25"/>
    <s v="Low"/>
    <s v="electronics"/>
  </r>
  <r>
    <x v="10"/>
    <s v="purchase"/>
    <n v="5000403"/>
    <s v="appliances.sewing_machine"/>
    <s v="brother"/>
    <n v="100.47"/>
    <n v="538967279"/>
    <n v="1"/>
    <n v="100.47"/>
    <s v="Low"/>
    <s v="appliances"/>
  </r>
  <r>
    <x v="12"/>
    <s v="purchase"/>
    <n v="22700068"/>
    <s v="Other"/>
    <s v="force"/>
    <n v="100.39"/>
    <n v="562455917"/>
    <n v="3"/>
    <n v="301.17"/>
    <s v="Low"/>
    <s v="Other"/>
  </r>
  <r>
    <x v="10"/>
    <s v="purchase"/>
    <n v="28704601"/>
    <s v="apparel.shoes"/>
    <s v="etor"/>
    <n v="100.39"/>
    <n v="552942348"/>
    <n v="5"/>
    <n v="501.95"/>
    <s v="Low"/>
    <s v="apparel"/>
  </r>
  <r>
    <x v="7"/>
    <s v="purchase"/>
    <n v="22700068"/>
    <s v="Other"/>
    <s v="force"/>
    <n v="100.39"/>
    <n v="513376382"/>
    <n v="2"/>
    <n v="200.78"/>
    <s v="Low"/>
    <s v="Other"/>
  </r>
  <r>
    <x v="6"/>
    <s v="purchase"/>
    <n v="3701050"/>
    <s v="appliances.environment.vacuum"/>
    <s v="tefal"/>
    <n v="100.36"/>
    <n v="518639908"/>
    <n v="2"/>
    <n v="200.72"/>
    <s v="Low"/>
    <s v="appliances"/>
  </r>
  <r>
    <x v="3"/>
    <s v="purchase"/>
    <n v="28717081"/>
    <s v="apparel.shoes.keds"/>
    <s v="puma"/>
    <n v="100.13"/>
    <n v="560914255"/>
    <n v="5"/>
    <n v="500.65"/>
    <s v="Low"/>
    <s v="apparel"/>
  </r>
  <r>
    <x v="12"/>
    <s v="purchase"/>
    <n v="28100993"/>
    <s v="Other"/>
    <s v="Other"/>
    <n v="99.1"/>
    <n v="521693054"/>
    <n v="5"/>
    <n v="495.5"/>
    <s v="Low"/>
    <s v="Other"/>
  </r>
  <r>
    <x v="11"/>
    <s v="purchase"/>
    <n v="2402228"/>
    <s v="appliances.kitchen.hood"/>
    <s v="oasis"/>
    <n v="97.79"/>
    <n v="526062582"/>
    <n v="1"/>
    <n v="97.79"/>
    <s v="Low"/>
    <s v="appliances"/>
  </r>
  <r>
    <x v="12"/>
    <s v="purchase"/>
    <n v="12700959"/>
    <s v="Other"/>
    <s v="nokian"/>
    <n v="96.67"/>
    <n v="516308340"/>
    <n v="3"/>
    <n v="290.01"/>
    <s v="Low"/>
    <s v="Other"/>
  </r>
  <r>
    <x v="10"/>
    <s v="purchase"/>
    <n v="12700959"/>
    <s v="Other"/>
    <s v="nokian"/>
    <n v="96.67"/>
    <n v="516308340"/>
    <n v="1"/>
    <n v="96.67"/>
    <s v="Low"/>
    <s v="Other"/>
  </r>
  <r>
    <x v="8"/>
    <s v="purchase"/>
    <n v="13300584"/>
    <s v="Other"/>
    <s v="askona"/>
    <n v="94.98"/>
    <n v="515817705"/>
    <n v="5"/>
    <n v="474.90000000000003"/>
    <s v="Low"/>
    <s v="Other"/>
  </r>
  <r>
    <x v="2"/>
    <s v="purchase"/>
    <n v="1005007"/>
    <s v="electronics.smartphone"/>
    <s v="xiaomi"/>
    <n v="94.7"/>
    <n v="554459781"/>
    <n v="4"/>
    <n v="378.8"/>
    <s v="Low"/>
    <s v="electronics"/>
  </r>
  <r>
    <x v="14"/>
    <s v="purchase"/>
    <n v="8801100"/>
    <s v="electronics.telephone"/>
    <s v="nokia"/>
    <n v="94.66"/>
    <n v="534492015"/>
    <n v="3"/>
    <n v="283.98"/>
    <s v="Low"/>
    <s v="electronics"/>
  </r>
  <r>
    <x v="13"/>
    <s v="purchase"/>
    <n v="5300095"/>
    <s v="Other"/>
    <s v="remington"/>
    <n v="94.47"/>
    <n v="555345204"/>
    <n v="4"/>
    <n v="377.88"/>
    <s v="Low"/>
    <s v="Other"/>
  </r>
  <r>
    <x v="14"/>
    <s v="purchase"/>
    <n v="3600591"/>
    <s v="appliances.kitchen.washer"/>
    <s v="artel"/>
    <n v="93.51"/>
    <n v="516191099"/>
    <n v="2"/>
    <n v="187.02"/>
    <s v="Low"/>
    <s v="appliances"/>
  </r>
  <r>
    <x v="2"/>
    <s v="purchase"/>
    <n v="26203834"/>
    <s v="Other"/>
    <s v="Other"/>
    <n v="92.41"/>
    <n v="521026062"/>
    <n v="1"/>
    <n v="92.41"/>
    <s v="Low"/>
    <s v="Other"/>
  </r>
  <r>
    <x v="12"/>
    <s v="purchase"/>
    <n v="1004462"/>
    <s v="electronics.smartphone"/>
    <s v="huawei"/>
    <n v="91.61"/>
    <n v="516475820"/>
    <n v="1"/>
    <n v="91.61"/>
    <s v="Low"/>
    <s v="electronics"/>
  </r>
  <r>
    <x v="13"/>
    <s v="purchase"/>
    <n v="26500136"/>
    <s v="Other"/>
    <s v="lucente"/>
    <n v="91.38"/>
    <n v="548501532"/>
    <n v="2"/>
    <n v="182.76"/>
    <s v="Low"/>
    <s v="Other"/>
  </r>
  <r>
    <x v="0"/>
    <s v="purchase"/>
    <n v="12700831"/>
    <s v="Other"/>
    <s v="nokian"/>
    <n v="91.34"/>
    <n v="544065541"/>
    <n v="1"/>
    <n v="91.34"/>
    <s v="Low"/>
    <s v="Other"/>
  </r>
  <r>
    <x v="4"/>
    <s v="purchase"/>
    <n v="17800113"/>
    <s v="computers.desktop"/>
    <s v="zeta"/>
    <n v="90.44"/>
    <n v="527916719"/>
    <n v="4"/>
    <n v="361.76"/>
    <s v="Low"/>
    <s v="computers"/>
  </r>
  <r>
    <x v="9"/>
    <s v="purchase"/>
    <n v="48400003"/>
    <s v="Other"/>
    <s v="Other"/>
    <n v="90.07"/>
    <n v="514607972"/>
    <n v="1"/>
    <n v="90.07"/>
    <s v="Low"/>
    <s v="Other"/>
  </r>
  <r>
    <x v="2"/>
    <s v="purchase"/>
    <n v="48400003"/>
    <s v="Other"/>
    <s v="Other"/>
    <n v="90.07"/>
    <n v="514607972"/>
    <n v="1"/>
    <n v="90.07"/>
    <s v="Low"/>
    <s v="Other"/>
  </r>
  <r>
    <x v="3"/>
    <s v="purchase"/>
    <n v="28715851"/>
    <s v="apparel.shoes"/>
    <s v="respect"/>
    <n v="89.84"/>
    <n v="517037309"/>
    <n v="4"/>
    <n v="359.36"/>
    <s v="Low"/>
    <s v="apparel"/>
  </r>
  <r>
    <x v="12"/>
    <s v="purchase"/>
    <n v="4803977"/>
    <s v="electronics.audio.headphone"/>
    <s v="samsung"/>
    <n v="107.45"/>
    <n v="566281421"/>
    <n v="3"/>
    <n v="322.35000000000002"/>
    <s v="Low"/>
    <s v="electronics"/>
  </r>
  <r>
    <x v="14"/>
    <s v="purchase"/>
    <n v="4803977"/>
    <s v="electronics.audio.headphone"/>
    <s v="samsung"/>
    <n v="107.45"/>
    <n v="518336246"/>
    <n v="5"/>
    <n v="537.25"/>
    <s v="Low"/>
    <s v="electronics"/>
  </r>
  <r>
    <x v="8"/>
    <s v="purchase"/>
    <n v="6800904"/>
    <s v="computers.components.hdd"/>
    <s v="samsung"/>
    <n v="101.16"/>
    <n v="519599610"/>
    <n v="2"/>
    <n v="202.32"/>
    <s v="Low"/>
    <s v="computers"/>
  </r>
  <r>
    <x v="8"/>
    <s v="purchase"/>
    <n v="1004209"/>
    <s v="electronics.smartphone"/>
    <s v="samsung"/>
    <n v="88.29"/>
    <n v="516340669"/>
    <n v="4"/>
    <n v="353.16"/>
    <s v="Low"/>
    <s v="electronics"/>
  </r>
  <r>
    <x v="13"/>
    <s v="purchase"/>
    <n v="19200005"/>
    <s v="construction.tools.saw"/>
    <s v="huter"/>
    <n v="87.52"/>
    <n v="543689735"/>
    <n v="5"/>
    <n v="437.59999999999997"/>
    <s v="Low"/>
    <s v="construction"/>
  </r>
  <r>
    <x v="12"/>
    <s v="purchase"/>
    <n v="12709941"/>
    <s v="Other"/>
    <s v="yokohama"/>
    <n v="87.26"/>
    <n v="545800562"/>
    <n v="1"/>
    <n v="87.26"/>
    <s v="Low"/>
    <s v="Other"/>
  </r>
  <r>
    <x v="5"/>
    <s v="purchase"/>
    <n v="12710320"/>
    <s v="Other"/>
    <s v="yokohama"/>
    <n v="87"/>
    <n v="516308340"/>
    <n v="5"/>
    <n v="435"/>
    <s v="Low"/>
    <s v="Other"/>
  </r>
  <r>
    <x v="3"/>
    <s v="purchase"/>
    <n v="28716422"/>
    <s v="apparel.shoes"/>
    <s v="respect"/>
    <n v="86.23"/>
    <n v="538018965"/>
    <n v="5"/>
    <n v="431.15000000000003"/>
    <s v="Low"/>
    <s v="apparel"/>
  </r>
  <r>
    <x v="3"/>
    <s v="purchase"/>
    <n v="28716454"/>
    <s v="apparel.shoes"/>
    <s v="respect"/>
    <n v="86.23"/>
    <n v="541022499"/>
    <n v="4"/>
    <n v="344.92"/>
    <s v="Low"/>
    <s v="apparel"/>
  </r>
  <r>
    <x v="4"/>
    <s v="purchase"/>
    <n v="12703499"/>
    <s v="Other"/>
    <s v="tigar"/>
    <n v="86.23"/>
    <n v="515920155"/>
    <n v="3"/>
    <n v="258.69"/>
    <s v="Low"/>
    <s v="Other"/>
  </r>
  <r>
    <x v="14"/>
    <s v="purchase"/>
    <n v="11900017"/>
    <s v="Other"/>
    <s v="Other"/>
    <n v="85.81"/>
    <n v="522335330"/>
    <n v="3"/>
    <n v="257.43"/>
    <s v="Low"/>
    <s v="Other"/>
  </r>
  <r>
    <x v="10"/>
    <s v="purchase"/>
    <n v="14300017"/>
    <s v="electronics.audio.music_tools.piano"/>
    <s v="cortland"/>
    <n v="84.94"/>
    <n v="538417163"/>
    <n v="4"/>
    <n v="339.76"/>
    <s v="Low"/>
    <s v="electronics"/>
  </r>
  <r>
    <x v="9"/>
    <s v="purchase"/>
    <n v="12700941"/>
    <s v="Other"/>
    <s v="nokian"/>
    <n v="84.69"/>
    <n v="518724743"/>
    <n v="2"/>
    <n v="169.38"/>
    <s v="Low"/>
    <s v="Other"/>
  </r>
  <r>
    <x v="8"/>
    <s v="purchase"/>
    <n v="6100216"/>
    <s v="auto.accessories.radar"/>
    <s v="ibox"/>
    <n v="84.43"/>
    <n v="527260811"/>
    <n v="5"/>
    <n v="422.15000000000003"/>
    <s v="Low"/>
    <s v="auto"/>
  </r>
  <r>
    <x v="11"/>
    <s v="purchase"/>
    <n v="15200192"/>
    <s v="Other"/>
    <s v="gigawatt"/>
    <n v="84.43"/>
    <n v="560583956"/>
    <n v="3"/>
    <n v="253.29000000000002"/>
    <s v="Low"/>
    <s v="Other"/>
  </r>
  <r>
    <x v="9"/>
    <s v="purchase"/>
    <n v="28716999"/>
    <s v="apparel.shoes"/>
    <s v="respect"/>
    <n v="82.63"/>
    <n v="561987774"/>
    <n v="2"/>
    <n v="165.26"/>
    <s v="Low"/>
    <s v="apparel"/>
  </r>
  <r>
    <x v="8"/>
    <s v="purchase"/>
    <n v="28715623"/>
    <s v="apparel.shoes.keds"/>
    <s v="peak"/>
    <n v="82.34"/>
    <n v="549422045"/>
    <n v="5"/>
    <n v="411.70000000000005"/>
    <s v="Low"/>
    <s v="apparel"/>
  </r>
  <r>
    <x v="9"/>
    <s v="purchase"/>
    <n v="20900070"/>
    <s v="Other"/>
    <s v="xiaomi"/>
    <n v="81.86"/>
    <n v="513611439"/>
    <n v="1"/>
    <n v="81.86"/>
    <s v="Low"/>
    <s v="Other"/>
  </r>
  <r>
    <x v="9"/>
    <s v="purchase"/>
    <n v="43900053"/>
    <s v="Other"/>
    <s v="bosch"/>
    <n v="80.260000000000005"/>
    <n v="547191229"/>
    <n v="4"/>
    <n v="321.04000000000002"/>
    <s v="Low"/>
    <s v="Other"/>
  </r>
  <r>
    <x v="4"/>
    <s v="purchase"/>
    <n v="28718042"/>
    <s v="apparel.shoes.keds"/>
    <s v="millionaire"/>
    <n v="79.02"/>
    <n v="535710812"/>
    <n v="1"/>
    <n v="79.02"/>
    <s v="Low"/>
    <s v="apparel"/>
  </r>
  <r>
    <x v="5"/>
    <s v="purchase"/>
    <n v="12702439"/>
    <s v="Other"/>
    <s v="tigar"/>
    <n v="78.510000000000005"/>
    <n v="530852336"/>
    <n v="4"/>
    <n v="314.04000000000002"/>
    <s v="Low"/>
    <s v="Other"/>
  </r>
  <r>
    <x v="6"/>
    <s v="purchase"/>
    <n v="12704781"/>
    <s v="Other"/>
    <s v="nokian"/>
    <n v="77.739999999999995"/>
    <n v="515075737"/>
    <n v="1"/>
    <n v="77.739999999999995"/>
    <s v="Low"/>
    <s v="Other"/>
  </r>
  <r>
    <x v="1"/>
    <s v="purchase"/>
    <n v="21401211"/>
    <s v="electronics.clocks"/>
    <s v="casio"/>
    <n v="77.63"/>
    <n v="537936603"/>
    <n v="1"/>
    <n v="77.63"/>
    <s v="Low"/>
    <s v="electronics"/>
  </r>
  <r>
    <x v="9"/>
    <s v="purchase"/>
    <n v="21401211"/>
    <s v="electronics.clocks"/>
    <s v="casio"/>
    <n v="77.63"/>
    <n v="537936603"/>
    <n v="2"/>
    <n v="155.26"/>
    <s v="Low"/>
    <s v="electronics"/>
  </r>
  <r>
    <x v="3"/>
    <s v="purchase"/>
    <n v="44700002"/>
    <s v="Other"/>
    <s v="pt-group"/>
    <n v="77.22"/>
    <n v="513197412"/>
    <n v="2"/>
    <n v="154.44"/>
    <s v="Low"/>
    <s v="Other"/>
  </r>
  <r>
    <x v="8"/>
    <s v="purchase"/>
    <n v="12600037"/>
    <s v="appliances.kitchen.grill"/>
    <s v="redmond"/>
    <n v="77.17"/>
    <n v="531549122"/>
    <n v="3"/>
    <n v="231.51"/>
    <s v="Low"/>
    <s v="appliances"/>
  </r>
  <r>
    <x v="3"/>
    <s v="purchase"/>
    <n v="8800773"/>
    <s v="electronics.telephone"/>
    <s v="nokia"/>
    <n v="76.3"/>
    <n v="534492015"/>
    <n v="2"/>
    <n v="152.6"/>
    <s v="Low"/>
    <s v="electronics"/>
  </r>
  <r>
    <x v="1"/>
    <s v="purchase"/>
    <n v="22700129"/>
    <s v="Other"/>
    <s v="stels"/>
    <n v="75.94"/>
    <n v="542090729"/>
    <n v="4"/>
    <n v="303.76"/>
    <s v="Low"/>
    <s v="Other"/>
  </r>
  <r>
    <x v="7"/>
    <s v="purchase"/>
    <n v="3100888"/>
    <s v="appliances.kitchen.blender"/>
    <s v="scarlett"/>
    <n v="75.91"/>
    <n v="513993755"/>
    <n v="2"/>
    <n v="151.82"/>
    <s v="Low"/>
    <s v="appliances"/>
  </r>
  <r>
    <x v="2"/>
    <s v="purchase"/>
    <n v="5300079"/>
    <s v="Other"/>
    <s v="remington"/>
    <n v="75.38"/>
    <n v="518880126"/>
    <n v="1"/>
    <n v="75.38"/>
    <s v="Low"/>
    <s v="Other"/>
  </r>
  <r>
    <x v="9"/>
    <s v="purchase"/>
    <n v="26203761"/>
    <s v="Other"/>
    <s v="Other"/>
    <n v="75.16"/>
    <n v="524786147"/>
    <n v="1"/>
    <n v="75.16"/>
    <s v="Low"/>
    <s v="Other"/>
  </r>
  <r>
    <x v="1"/>
    <s v="purchase"/>
    <n v="12711340"/>
    <s v="Other"/>
    <s v="maxxis"/>
    <n v="73.36"/>
    <n v="540163420"/>
    <n v="2"/>
    <n v="146.72"/>
    <s v="Low"/>
    <s v="Other"/>
  </r>
  <r>
    <x v="1"/>
    <s v="purchase"/>
    <n v="7900173"/>
    <s v="furniture.kitchen.chair"/>
    <s v="joie"/>
    <n v="73.099999999999994"/>
    <n v="551100168"/>
    <n v="5"/>
    <n v="365.5"/>
    <s v="Low"/>
    <s v="furniture"/>
  </r>
  <r>
    <x v="13"/>
    <s v="purchase"/>
    <n v="30000238"/>
    <s v="construction.tools.welding"/>
    <s v="hyundai"/>
    <n v="72.33"/>
    <n v="537873516"/>
    <n v="4"/>
    <n v="289.32"/>
    <s v="Low"/>
    <s v="construction"/>
  </r>
  <r>
    <x v="13"/>
    <s v="purchase"/>
    <n v="5701066"/>
    <s v="auto.accessories.player"/>
    <s v="pioneer"/>
    <n v="72.069999999999993"/>
    <n v="565824597"/>
    <n v="1"/>
    <n v="72.069999999999993"/>
    <s v="Low"/>
    <s v="auto"/>
  </r>
  <r>
    <x v="1"/>
    <s v="purchase"/>
    <n v="15200260"/>
    <s v="Other"/>
    <s v="gigawatt"/>
    <n v="71.900000000000006"/>
    <n v="513335669"/>
    <n v="1"/>
    <n v="71.900000000000006"/>
    <s v="Low"/>
    <s v="Other"/>
  </r>
  <r>
    <x v="3"/>
    <s v="purchase"/>
    <n v="1005054"/>
    <s v="electronics.smartphone"/>
    <s v="tp-link"/>
    <n v="71.819999999999993"/>
    <n v="566182395"/>
    <n v="1"/>
    <n v="71.819999999999993"/>
    <s v="Low"/>
    <s v="electronics"/>
  </r>
  <r>
    <x v="14"/>
    <s v="purchase"/>
    <n v="28721741"/>
    <s v="Other"/>
    <s v="respect"/>
    <n v="71.819999999999993"/>
    <n v="554692011"/>
    <n v="1"/>
    <n v="71.819999999999993"/>
    <s v="Low"/>
    <s v="Other"/>
  </r>
  <r>
    <x v="0"/>
    <s v="purchase"/>
    <n v="12705221"/>
    <s v="Other"/>
    <s v="viatti"/>
    <n v="71.56"/>
    <n v="545549808"/>
    <n v="1"/>
    <n v="71.56"/>
    <s v="Low"/>
    <s v="Other"/>
  </r>
  <r>
    <x v="10"/>
    <s v="purchase"/>
    <n v="5100375"/>
    <s v="electronics.clocks"/>
    <s v="xiaomi"/>
    <n v="70.790000000000006"/>
    <n v="517386419"/>
    <n v="3"/>
    <n v="212.37"/>
    <s v="Low"/>
    <s v="electronics"/>
  </r>
  <r>
    <x v="12"/>
    <s v="purchase"/>
    <n v="4803879"/>
    <s v="electronics.audio.headphone"/>
    <s v="xiaomi"/>
    <n v="70.790000000000006"/>
    <n v="513153386"/>
    <n v="1"/>
    <n v="70.790000000000006"/>
    <s v="Low"/>
    <s v="electronics"/>
  </r>
  <r>
    <x v="2"/>
    <s v="purchase"/>
    <n v="12711111"/>
    <s v="Other"/>
    <s v="yokohama"/>
    <n v="70.400000000000006"/>
    <n v="513477471"/>
    <n v="4"/>
    <n v="281.60000000000002"/>
    <s v="Low"/>
    <s v="Other"/>
  </r>
  <r>
    <x v="0"/>
    <s v="purchase"/>
    <n v="12703688"/>
    <s v="Other"/>
    <s v="matador"/>
    <n v="70.27"/>
    <n v="530773499"/>
    <n v="4"/>
    <n v="281.08"/>
    <s v="Low"/>
    <s v="Other"/>
  </r>
  <r>
    <x v="9"/>
    <s v="purchase"/>
    <n v="12709942"/>
    <s v="Other"/>
    <s v="yokohama"/>
    <n v="70.27"/>
    <n v="566301119"/>
    <n v="5"/>
    <n v="351.34999999999997"/>
    <s v="Low"/>
    <s v="Other"/>
  </r>
  <r>
    <x v="3"/>
    <s v="purchase"/>
    <n v="1004496"/>
    <s v="electronics.smartphone"/>
    <s v="meizu"/>
    <n v="69.239999999999995"/>
    <n v="535751928"/>
    <n v="4"/>
    <n v="276.95999999999998"/>
    <s v="Low"/>
    <s v="electronics"/>
  </r>
  <r>
    <x v="4"/>
    <s v="purchase"/>
    <n v="39500010"/>
    <s v="Other"/>
    <s v="Other"/>
    <n v="69.239999999999995"/>
    <n v="512769579"/>
    <n v="4"/>
    <n v="276.95999999999998"/>
    <s v="Low"/>
    <s v="Other"/>
  </r>
  <r>
    <x v="9"/>
    <s v="purchase"/>
    <n v="1004496"/>
    <s v="electronics.smartphone"/>
    <s v="meizu"/>
    <n v="69.239999999999995"/>
    <n v="512987361"/>
    <n v="3"/>
    <n v="207.71999999999997"/>
    <s v="Low"/>
    <s v="electronics"/>
  </r>
  <r>
    <x v="8"/>
    <s v="purchase"/>
    <n v="12705581"/>
    <s v="Other"/>
    <s v="Other"/>
    <n v="69.08"/>
    <n v="546375815"/>
    <n v="3"/>
    <n v="207.24"/>
    <s v="Low"/>
    <s v="Other"/>
  </r>
  <r>
    <x v="13"/>
    <s v="purchase"/>
    <n v="10701101"/>
    <s v="Other"/>
    <s v="ea"/>
    <n v="68.319999999999993"/>
    <n v="512486732"/>
    <n v="2"/>
    <n v="136.63999999999999"/>
    <s v="Low"/>
    <s v="Other"/>
  </r>
  <r>
    <x v="13"/>
    <s v="purchase"/>
    <n v="12709541"/>
    <s v="Other"/>
    <s v="goodyear"/>
    <n v="67.44"/>
    <n v="553025898"/>
    <n v="5"/>
    <n v="337.2"/>
    <s v="Low"/>
    <s v="Other"/>
  </r>
  <r>
    <x v="8"/>
    <s v="purchase"/>
    <n v="2600446"/>
    <s v="Other"/>
    <s v="gefest"/>
    <n v="67.400000000000006"/>
    <n v="540291668"/>
    <n v="3"/>
    <n v="202.20000000000002"/>
    <s v="Low"/>
    <s v="Other"/>
  </r>
  <r>
    <x v="6"/>
    <s v="purchase"/>
    <n v="16600216"/>
    <s v="Other"/>
    <s v="adile"/>
    <n v="66.930000000000007"/>
    <n v="519048208"/>
    <n v="2"/>
    <n v="133.86000000000001"/>
    <s v="Low"/>
    <s v="Other"/>
  </r>
  <r>
    <x v="9"/>
    <s v="purchase"/>
    <n v="16600216"/>
    <s v="Other"/>
    <s v="adile"/>
    <n v="66.930000000000007"/>
    <n v="543672266"/>
    <n v="4"/>
    <n v="267.72000000000003"/>
    <s v="Low"/>
    <s v="Other"/>
  </r>
  <r>
    <x v="9"/>
    <s v="purchase"/>
    <n v="1004209"/>
    <s v="electronics.smartphone"/>
    <s v="samsung"/>
    <n v="88.29"/>
    <n v="566300372"/>
    <n v="5"/>
    <n v="441.45000000000005"/>
    <s v="Low"/>
    <s v="electronics"/>
  </r>
  <r>
    <x v="14"/>
    <s v="purchase"/>
    <n v="1004209"/>
    <s v="electronics.smartphone"/>
    <s v="samsung"/>
    <n v="88.29"/>
    <n v="560328829"/>
    <n v="1"/>
    <n v="88.29"/>
    <s v="Low"/>
    <s v="electronics"/>
  </r>
  <r>
    <x v="12"/>
    <s v="purchase"/>
    <n v="2900983"/>
    <s v="appliances.kitchen.microwave"/>
    <s v="hotpoint-ariston"/>
    <n v="66.900000000000006"/>
    <n v="539737415"/>
    <n v="2"/>
    <n v="133.80000000000001"/>
    <s v="Low"/>
    <s v="appliances"/>
  </r>
  <r>
    <x v="4"/>
    <s v="purchase"/>
    <n v="7300440"/>
    <s v="Other"/>
    <s v="transcend"/>
    <n v="66.87"/>
    <n v="515531985"/>
    <n v="2"/>
    <n v="133.74"/>
    <s v="Low"/>
    <s v="Other"/>
  </r>
  <r>
    <x v="9"/>
    <s v="purchase"/>
    <n v="7300440"/>
    <s v="Other"/>
    <s v="transcend"/>
    <n v="66.87"/>
    <n v="552026815"/>
    <n v="3"/>
    <n v="200.61"/>
    <s v="Low"/>
    <s v="Other"/>
  </r>
  <r>
    <x v="3"/>
    <s v="purchase"/>
    <n v="28721172"/>
    <s v="apparel.shoes"/>
    <s v="nexpero"/>
    <n v="66.41"/>
    <n v="530327518"/>
    <n v="4"/>
    <n v="265.64"/>
    <s v="Low"/>
    <s v="apparel"/>
  </r>
  <r>
    <x v="2"/>
    <s v="purchase"/>
    <n v="12707065"/>
    <s v="Other"/>
    <s v="matador"/>
    <n v="65.38"/>
    <n v="517495805"/>
    <n v="4"/>
    <n v="261.52"/>
    <s v="Low"/>
    <s v="Other"/>
  </r>
  <r>
    <x v="6"/>
    <s v="purchase"/>
    <n v="12705440"/>
    <s v="Other"/>
    <s v="cordiant"/>
    <n v="65.28"/>
    <n v="518559831"/>
    <n v="2"/>
    <n v="130.56"/>
    <s v="Low"/>
    <s v="Other"/>
  </r>
  <r>
    <x v="14"/>
    <s v="purchase"/>
    <n v="19200012"/>
    <s v="construction.tools.saw"/>
    <s v="huter"/>
    <n v="64.78"/>
    <n v="514449287"/>
    <n v="4"/>
    <n v="259.12"/>
    <s v="Low"/>
    <s v="construction"/>
  </r>
  <r>
    <x v="1"/>
    <s v="purchase"/>
    <n v="28721299"/>
    <s v="apparel.shoes"/>
    <s v="rooman"/>
    <n v="64.61"/>
    <n v="557082466"/>
    <n v="2"/>
    <n v="129.22"/>
    <s v="Low"/>
    <s v="apparel"/>
  </r>
  <r>
    <x v="6"/>
    <s v="purchase"/>
    <n v="3900841"/>
    <s v="appliances.environment.water_heater"/>
    <s v="haier"/>
    <n v="64.17"/>
    <n v="552405813"/>
    <n v="4"/>
    <n v="256.68"/>
    <s v="Low"/>
    <s v="appliances"/>
  </r>
  <r>
    <x v="8"/>
    <s v="purchase"/>
    <n v="1004210"/>
    <s v="electronics.smartphone"/>
    <s v="samsung"/>
    <n v="88.24"/>
    <n v="550610851"/>
    <n v="4"/>
    <n v="352.96"/>
    <s v="Low"/>
    <s v="electronics"/>
  </r>
  <r>
    <x v="9"/>
    <s v="purchase"/>
    <n v="3700338"/>
    <s v="appliances.environment.vacuum"/>
    <s v="samsung"/>
    <n v="66.900000000000006"/>
    <n v="539952572"/>
    <n v="5"/>
    <n v="334.5"/>
    <s v="Low"/>
    <s v="appliances"/>
  </r>
  <r>
    <x v="9"/>
    <s v="purchase"/>
    <n v="3700338"/>
    <s v="appliances.environment.vacuum"/>
    <s v="samsung"/>
    <n v="66.900000000000006"/>
    <n v="558439221"/>
    <n v="2"/>
    <n v="133.80000000000001"/>
    <s v="Low"/>
    <s v="appliances"/>
  </r>
  <r>
    <x v="6"/>
    <s v="purchase"/>
    <n v="26500092"/>
    <s v="Other"/>
    <s v="lucente"/>
    <n v="63.84"/>
    <n v="545710706"/>
    <n v="5"/>
    <n v="319.20000000000005"/>
    <s v="Low"/>
    <s v="Other"/>
  </r>
  <r>
    <x v="2"/>
    <s v="purchase"/>
    <n v="28721757"/>
    <s v="apparel.shoes"/>
    <s v="respect"/>
    <n v="62.81"/>
    <n v="542347627"/>
    <n v="1"/>
    <n v="62.81"/>
    <s v="Low"/>
    <s v="apparel"/>
  </r>
  <r>
    <x v="10"/>
    <s v="purchase"/>
    <n v="6100130"/>
    <s v="auto.accessories.radar"/>
    <s v="ibox"/>
    <n v="62.78"/>
    <n v="515168378"/>
    <n v="2"/>
    <n v="125.56"/>
    <s v="Low"/>
    <s v="auto"/>
  </r>
  <r>
    <x v="7"/>
    <s v="purchase"/>
    <n v="34800610"/>
    <s v="Other"/>
    <s v="carfashion"/>
    <n v="62.55"/>
    <n v="512393153"/>
    <n v="4"/>
    <n v="250.2"/>
    <s v="Low"/>
    <s v="Other"/>
  </r>
  <r>
    <x v="3"/>
    <s v="purchase"/>
    <n v="7203344"/>
    <s v="Other"/>
    <s v="lego"/>
    <n v="61.75"/>
    <n v="545669243"/>
    <n v="1"/>
    <n v="61.75"/>
    <s v="Low"/>
    <s v="Other"/>
  </r>
  <r>
    <x v="12"/>
    <s v="purchase"/>
    <n v="42300020"/>
    <s v="furniture.living_room.cabinet"/>
    <s v="Other"/>
    <n v="61.75"/>
    <n v="513993504"/>
    <n v="2"/>
    <n v="123.5"/>
    <s v="Low"/>
    <s v="furniture"/>
  </r>
  <r>
    <x v="6"/>
    <s v="purchase"/>
    <n v="4804409"/>
    <s v="electronics.audio.headphone"/>
    <s v="elari"/>
    <n v="61.65"/>
    <n v="555031859"/>
    <n v="3"/>
    <n v="184.95"/>
    <s v="Low"/>
    <s v="electronics"/>
  </r>
  <r>
    <x v="0"/>
    <s v="purchase"/>
    <n v="4804409"/>
    <s v="electronics.audio.headphone"/>
    <s v="elari"/>
    <n v="61.65"/>
    <n v="545703807"/>
    <n v="3"/>
    <n v="184.95"/>
    <s v="Low"/>
    <s v="electronics"/>
  </r>
  <r>
    <x v="5"/>
    <s v="purchase"/>
    <n v="4804607"/>
    <s v="electronics.audio.headphone"/>
    <s v="elari"/>
    <n v="61.65"/>
    <n v="545703807"/>
    <n v="2"/>
    <n v="123.3"/>
    <s v="Low"/>
    <s v="electronics"/>
  </r>
  <r>
    <x v="1"/>
    <s v="purchase"/>
    <n v="4804607"/>
    <s v="electronics.audio.headphone"/>
    <s v="elari"/>
    <n v="61.65"/>
    <n v="518625624"/>
    <n v="5"/>
    <n v="308.25"/>
    <s v="Low"/>
    <s v="electronics"/>
  </r>
  <r>
    <x v="0"/>
    <s v="purchase"/>
    <n v="4804409"/>
    <s v="electronics.audio.headphone"/>
    <s v="elari"/>
    <n v="61.65"/>
    <n v="554174428"/>
    <n v="2"/>
    <n v="123.3"/>
    <s v="Low"/>
    <s v="electronics"/>
  </r>
  <r>
    <x v="3"/>
    <s v="purchase"/>
    <n v="4804607"/>
    <s v="electronics.audio.headphone"/>
    <s v="elari"/>
    <n v="61.65"/>
    <n v="518625624"/>
    <n v="4"/>
    <n v="246.6"/>
    <s v="Low"/>
    <s v="electronics"/>
  </r>
  <r>
    <x v="8"/>
    <s v="purchase"/>
    <n v="4804607"/>
    <s v="electronics.audio.headphone"/>
    <s v="elari"/>
    <n v="61.65"/>
    <n v="518625624"/>
    <n v="4"/>
    <n v="246.6"/>
    <s v="Low"/>
    <s v="electronics"/>
  </r>
  <r>
    <x v="6"/>
    <s v="purchase"/>
    <n v="4804607"/>
    <s v="electronics.audio.headphone"/>
    <s v="elari"/>
    <n v="61.65"/>
    <n v="518625624"/>
    <n v="5"/>
    <n v="308.25"/>
    <s v="Low"/>
    <s v="electronics"/>
  </r>
  <r>
    <x v="5"/>
    <s v="purchase"/>
    <n v="12711992"/>
    <s v="Other"/>
    <s v="triangle"/>
    <n v="61.01"/>
    <n v="514611821"/>
    <n v="4"/>
    <n v="244.04"/>
    <s v="Low"/>
    <s v="Other"/>
  </r>
  <r>
    <x v="8"/>
    <s v="purchase"/>
    <n v="26401414"/>
    <s v="Other"/>
    <s v="lucente"/>
    <n v="59.72"/>
    <n v="512373621"/>
    <n v="1"/>
    <n v="59.72"/>
    <s v="Low"/>
    <s v="Other"/>
  </r>
  <r>
    <x v="9"/>
    <s v="purchase"/>
    <n v="1005210"/>
    <s v="electronics.smartphone"/>
    <s v="jinga"/>
    <n v="59.18"/>
    <n v="563958829"/>
    <n v="5"/>
    <n v="295.89999999999998"/>
    <s v="Low"/>
    <s v="electronics"/>
  </r>
  <r>
    <x v="11"/>
    <s v="purchase"/>
    <n v="2900934"/>
    <s v="appliances.kitchen.microwave"/>
    <s v="hansa"/>
    <n v="59.13"/>
    <n v="512797691"/>
    <n v="1"/>
    <n v="59.13"/>
    <s v="Low"/>
    <s v="appliances"/>
  </r>
  <r>
    <x v="12"/>
    <s v="purchase"/>
    <n v="12718696"/>
    <s v="Other"/>
    <s v="yokohama"/>
    <n v="57.92"/>
    <n v="518640375"/>
    <n v="4"/>
    <n v="231.68"/>
    <s v="Low"/>
    <s v="Other"/>
  </r>
  <r>
    <x v="4"/>
    <s v="purchase"/>
    <n v="12702457"/>
    <s v="Other"/>
    <s v="matador"/>
    <n v="57.92"/>
    <n v="562808745"/>
    <n v="3"/>
    <n v="173.76"/>
    <s v="Low"/>
    <s v="Other"/>
  </r>
  <r>
    <x v="11"/>
    <s v="purchase"/>
    <n v="22800026"/>
    <s v="Other"/>
    <s v="yunteng"/>
    <n v="56.63"/>
    <n v="517679125"/>
    <n v="5"/>
    <n v="283.15000000000003"/>
    <s v="Low"/>
    <s v="Other"/>
  </r>
  <r>
    <x v="7"/>
    <s v="purchase"/>
    <n v="3800979"/>
    <s v="appliances.iron"/>
    <s v="tefal"/>
    <n v="56.6"/>
    <n v="556886471"/>
    <n v="4"/>
    <n v="226.4"/>
    <s v="Low"/>
    <s v="appliances"/>
  </r>
  <r>
    <x v="7"/>
    <s v="purchase"/>
    <n v="13500024"/>
    <s v="furniture.bedroom.bed"/>
    <s v="Other"/>
    <n v="56.6"/>
    <n v="513798638"/>
    <n v="5"/>
    <n v="283"/>
    <s v="Low"/>
    <s v="furniture"/>
  </r>
  <r>
    <x v="1"/>
    <s v="purchase"/>
    <n v="12719632"/>
    <s v="Other"/>
    <s v="kapsen"/>
    <n v="56.37"/>
    <n v="542964972"/>
    <n v="4"/>
    <n v="225.48"/>
    <s v="Low"/>
    <s v="Other"/>
  </r>
  <r>
    <x v="7"/>
    <s v="purchase"/>
    <n v="4803682"/>
    <s v="electronics.audio.headphone"/>
    <s v="kingston"/>
    <n v="56.35"/>
    <n v="541025243"/>
    <n v="3"/>
    <n v="169.05"/>
    <s v="Low"/>
    <s v="electronics"/>
  </r>
  <r>
    <x v="10"/>
    <s v="purchase"/>
    <n v="8800093"/>
    <s v="electronics.telephone"/>
    <s v="nokia"/>
    <n v="56.29"/>
    <n v="514280319"/>
    <n v="2"/>
    <n v="112.58"/>
    <s v="Low"/>
    <s v="electronics"/>
  </r>
  <r>
    <x v="13"/>
    <s v="purchase"/>
    <n v="26402783"/>
    <s v="Other"/>
    <s v="Other"/>
    <n v="55.86"/>
    <n v="547961159"/>
    <n v="4"/>
    <n v="223.44"/>
    <s v="Low"/>
    <s v="Other"/>
  </r>
  <r>
    <x v="2"/>
    <s v="purchase"/>
    <n v="21400508"/>
    <s v="electronics.clocks"/>
    <s v="casio"/>
    <n v="55.86"/>
    <n v="512610490"/>
    <n v="4"/>
    <n v="223.44"/>
    <s v="Low"/>
    <s v="electronics"/>
  </r>
  <r>
    <x v="2"/>
    <s v="purchase"/>
    <n v="7300476"/>
    <s v="Other"/>
    <s v="apacer"/>
    <n v="55.34"/>
    <n v="514437157"/>
    <n v="3"/>
    <n v="166.02"/>
    <s v="Low"/>
    <s v="Other"/>
  </r>
  <r>
    <x v="3"/>
    <s v="purchase"/>
    <n v="12716717"/>
    <s v="Other"/>
    <s v="kapsen"/>
    <n v="54.83"/>
    <n v="517043718"/>
    <n v="1"/>
    <n v="54.83"/>
    <s v="Low"/>
    <s v="Other"/>
  </r>
  <r>
    <x v="11"/>
    <s v="purchase"/>
    <n v="12700975"/>
    <s v="Other"/>
    <s v="nokian"/>
    <n v="54.25"/>
    <n v="561782205"/>
    <n v="3"/>
    <n v="162.75"/>
    <s v="Low"/>
    <s v="Other"/>
  </r>
  <r>
    <x v="14"/>
    <s v="purchase"/>
    <n v="12705773"/>
    <s v="Other"/>
    <s v="cordiant"/>
    <n v="54.06"/>
    <n v="518559831"/>
    <n v="5"/>
    <n v="270.3"/>
    <s v="Low"/>
    <s v="Other"/>
  </r>
  <r>
    <x v="7"/>
    <s v="purchase"/>
    <n v="4802057"/>
    <s v="electronics.audio.headphone"/>
    <s v="marshall"/>
    <n v="53.8"/>
    <n v="536139937"/>
    <n v="1"/>
    <n v="53.8"/>
    <s v="Low"/>
    <s v="electronics"/>
  </r>
  <r>
    <x v="5"/>
    <s v="purchase"/>
    <n v="12700931"/>
    <s v="Other"/>
    <s v="nokian"/>
    <n v="52.92"/>
    <n v="515167299"/>
    <n v="1"/>
    <n v="52.92"/>
    <s v="Low"/>
    <s v="Other"/>
  </r>
  <r>
    <x v="2"/>
    <s v="purchase"/>
    <n v="12709740"/>
    <s v="Other"/>
    <s v="yokohama"/>
    <n v="52.77"/>
    <n v="551026937"/>
    <n v="5"/>
    <n v="263.85000000000002"/>
    <s v="Low"/>
    <s v="Other"/>
  </r>
  <r>
    <x v="9"/>
    <s v="purchase"/>
    <n v="13400917"/>
    <s v="Other"/>
    <s v="Other"/>
    <n v="52.23"/>
    <n v="527624518"/>
    <n v="3"/>
    <n v="156.69"/>
    <s v="Low"/>
    <s v="Other"/>
  </r>
  <r>
    <x v="3"/>
    <s v="purchase"/>
    <n v="21401210"/>
    <s v="electronics.clocks"/>
    <s v="casio"/>
    <n v="52.2"/>
    <n v="566282354"/>
    <n v="1"/>
    <n v="52.2"/>
    <s v="Low"/>
    <s v="electronics"/>
  </r>
  <r>
    <x v="7"/>
    <s v="purchase"/>
    <n v="28704386"/>
    <s v="apparel.shoes.keds"/>
    <s v="asics"/>
    <n v="51.48"/>
    <n v="524543436"/>
    <n v="5"/>
    <n v="257.39999999999998"/>
    <s v="Low"/>
    <s v="apparel"/>
  </r>
  <r>
    <x v="9"/>
    <s v="purchase"/>
    <n v="26403394"/>
    <s v="Other"/>
    <s v="Other"/>
    <n v="51.22"/>
    <n v="559793011"/>
    <n v="1"/>
    <n v="51.22"/>
    <s v="Low"/>
    <s v="Other"/>
  </r>
  <r>
    <x v="12"/>
    <s v="purchase"/>
    <n v="26403394"/>
    <s v="Other"/>
    <s v="Other"/>
    <n v="51.22"/>
    <n v="518291241"/>
    <n v="3"/>
    <n v="153.66"/>
    <s v="Low"/>
    <s v="Other"/>
  </r>
  <r>
    <x v="2"/>
    <s v="purchase"/>
    <n v="12706656"/>
    <s v="Other"/>
    <s v="nokian"/>
    <n v="50.45"/>
    <n v="540952151"/>
    <n v="2"/>
    <n v="100.9"/>
    <s v="Low"/>
    <s v="Other"/>
  </r>
  <r>
    <x v="9"/>
    <s v="purchase"/>
    <n v="9800361"/>
    <s v="Other"/>
    <s v="Other"/>
    <n v="49.94"/>
    <n v="519440975"/>
    <n v="2"/>
    <n v="99.88"/>
    <s v="Low"/>
    <s v="Other"/>
  </r>
  <r>
    <x v="8"/>
    <s v="purchase"/>
    <n v="12702956"/>
    <s v="Other"/>
    <s v="nokian"/>
    <n v="49.82"/>
    <n v="514838540"/>
    <n v="2"/>
    <n v="99.64"/>
    <s v="Low"/>
    <s v="Other"/>
  </r>
  <r>
    <x v="13"/>
    <s v="purchase"/>
    <n v="12719961"/>
    <s v="Other"/>
    <s v="kapsen"/>
    <n v="49.68"/>
    <n v="512653939"/>
    <n v="1"/>
    <n v="49.68"/>
    <s v="Low"/>
    <s v="Other"/>
  </r>
  <r>
    <x v="0"/>
    <s v="purchase"/>
    <n v="3100034"/>
    <s v="appliances.kitchen.blender"/>
    <s v="braun"/>
    <n v="48.88"/>
    <n v="566285005"/>
    <n v="3"/>
    <n v="146.64000000000001"/>
    <s v="Low"/>
    <s v="appliances"/>
  </r>
  <r>
    <x v="6"/>
    <s v="purchase"/>
    <n v="8801049"/>
    <s v="electronics.telephone"/>
    <s v="philips"/>
    <n v="48.62"/>
    <n v="566036483"/>
    <n v="4"/>
    <n v="194.48"/>
    <s v="Low"/>
    <s v="electronics"/>
  </r>
  <r>
    <x v="5"/>
    <s v="purchase"/>
    <n v="3701221"/>
    <s v="appliances.environment.vacuum"/>
    <s v="dauscher"/>
    <n v="48.37"/>
    <n v="566179353"/>
    <n v="5"/>
    <n v="241.85"/>
    <s v="Low"/>
    <s v="appliances"/>
  </r>
  <r>
    <x v="10"/>
    <s v="purchase"/>
    <n v="12700928"/>
    <s v="Other"/>
    <s v="nokian"/>
    <n v="48.34"/>
    <n v="516078570"/>
    <n v="3"/>
    <n v="145.02000000000001"/>
    <s v="Low"/>
    <s v="Other"/>
  </r>
  <r>
    <x v="5"/>
    <s v="purchase"/>
    <n v="48200463"/>
    <s v="apparel.dress"/>
    <s v="conceptclub"/>
    <n v="47.62"/>
    <n v="530327518"/>
    <n v="3"/>
    <n v="142.85999999999999"/>
    <s v="Low"/>
    <s v="apparel"/>
  </r>
  <r>
    <x v="13"/>
    <s v="purchase"/>
    <n v="12718925"/>
    <s v="Other"/>
    <s v="triangle"/>
    <n v="47.36"/>
    <n v="518466994"/>
    <n v="4"/>
    <n v="189.44"/>
    <s v="Low"/>
    <s v="Other"/>
  </r>
  <r>
    <x v="2"/>
    <s v="purchase"/>
    <n v="9002787"/>
    <s v="kids.toys"/>
    <s v="bestoy"/>
    <n v="46.33"/>
    <n v="547356072"/>
    <n v="3"/>
    <n v="138.99"/>
    <s v="Low"/>
    <s v="kids"/>
  </r>
  <r>
    <x v="7"/>
    <s v="purchase"/>
    <n v="6301411"/>
    <s v="appliances.kitchen.kettle"/>
    <s v="willmark"/>
    <n v="46.31"/>
    <n v="534920558"/>
    <n v="1"/>
    <n v="46.31"/>
    <s v="Low"/>
    <s v="appliances"/>
  </r>
  <r>
    <x v="13"/>
    <s v="purchase"/>
    <n v="4300375"/>
    <s v="Other"/>
    <s v="polaris"/>
    <n v="46.31"/>
    <n v="512500813"/>
    <n v="4"/>
    <n v="185.24"/>
    <s v="Low"/>
    <s v="Other"/>
  </r>
  <r>
    <x v="2"/>
    <s v="purchase"/>
    <n v="5100834"/>
    <s v="Other"/>
    <s v="xiaomi"/>
    <n v="45.84"/>
    <n v="512670642"/>
    <n v="1"/>
    <n v="45.84"/>
    <s v="Low"/>
    <s v="Other"/>
  </r>
  <r>
    <x v="14"/>
    <s v="purchase"/>
    <n v="12709178"/>
    <s v="Other"/>
    <s v="triangle"/>
    <n v="45.82"/>
    <n v="518771094"/>
    <n v="1"/>
    <n v="45.82"/>
    <s v="Low"/>
    <s v="Other"/>
  </r>
  <r>
    <x v="1"/>
    <s v="purchase"/>
    <n v="12706655"/>
    <s v="Other"/>
    <s v="nokian"/>
    <n v="45.82"/>
    <n v="516078570"/>
    <n v="4"/>
    <n v="183.28"/>
    <s v="Low"/>
    <s v="Other"/>
  </r>
  <r>
    <x v="14"/>
    <s v="purchase"/>
    <n v="12709178"/>
    <s v="Other"/>
    <s v="triangle"/>
    <n v="45.82"/>
    <n v="518085015"/>
    <n v="4"/>
    <n v="183.28"/>
    <s v="Low"/>
    <s v="Other"/>
  </r>
  <r>
    <x v="1"/>
    <s v="purchase"/>
    <n v="12704667"/>
    <s v="Other"/>
    <s v="nokian"/>
    <n v="45.52"/>
    <n v="512474890"/>
    <n v="1"/>
    <n v="45.52"/>
    <s v="Low"/>
    <s v="Other"/>
  </r>
  <r>
    <x v="14"/>
    <s v="purchase"/>
    <n v="28300748"/>
    <s v="accessories.wallet"/>
    <s v="picard"/>
    <n v="45.05"/>
    <n v="528375191"/>
    <n v="3"/>
    <n v="135.14999999999998"/>
    <s v="Low"/>
    <s v="accessories"/>
  </r>
  <r>
    <x v="0"/>
    <s v="purchase"/>
    <n v="12711366"/>
    <s v="Other"/>
    <s v="nexen"/>
    <n v="45.05"/>
    <n v="562354455"/>
    <n v="3"/>
    <n v="135.14999999999998"/>
    <s v="Low"/>
    <s v="Other"/>
  </r>
  <r>
    <x v="12"/>
    <s v="purchase"/>
    <n v="29100044"/>
    <s v="appliances.personal.massager"/>
    <s v="vitek"/>
    <n v="43.98"/>
    <n v="558345718"/>
    <n v="5"/>
    <n v="219.89999999999998"/>
    <s v="Low"/>
    <s v="appliances"/>
  </r>
  <r>
    <x v="7"/>
    <s v="purchase"/>
    <n v="27900040"/>
    <s v="Other"/>
    <s v="Other"/>
    <n v="43.76"/>
    <n v="565873042"/>
    <n v="5"/>
    <n v="218.79999999999998"/>
    <s v="Low"/>
    <s v="Other"/>
  </r>
  <r>
    <x v="3"/>
    <s v="purchase"/>
    <n v="4802233"/>
    <s v="electronics.audio.headphone"/>
    <s v="jbl"/>
    <n v="43.73"/>
    <n v="545948530"/>
    <n v="1"/>
    <n v="43.73"/>
    <s v="Low"/>
    <s v="electronics"/>
  </r>
  <r>
    <x v="7"/>
    <s v="purchase"/>
    <n v="2500859"/>
    <s v="appliances.kitchen.oven"/>
    <s v="asel"/>
    <n v="43.73"/>
    <n v="556735076"/>
    <n v="1"/>
    <n v="43.73"/>
    <s v="Low"/>
    <s v="appliances"/>
  </r>
  <r>
    <x v="10"/>
    <s v="purchase"/>
    <n v="4300072"/>
    <s v="Other"/>
    <s v="timberk"/>
    <n v="43.73"/>
    <n v="522957619"/>
    <n v="3"/>
    <n v="131.19"/>
    <s v="Low"/>
    <s v="Other"/>
  </r>
  <r>
    <x v="7"/>
    <s v="purchase"/>
    <n v="12711108"/>
    <s v="Other"/>
    <s v="cordiant"/>
    <n v="43.5"/>
    <n v="515342397"/>
    <n v="5"/>
    <n v="217.5"/>
    <s v="Low"/>
    <s v="Other"/>
  </r>
  <r>
    <x v="8"/>
    <s v="purchase"/>
    <n v="3700926"/>
    <s v="appliances.environment.vacuum"/>
    <s v="samsung"/>
    <n v="64.02"/>
    <n v="536894980"/>
    <n v="1"/>
    <n v="64.02"/>
    <s v="Low"/>
    <s v="appliances"/>
  </r>
  <r>
    <x v="3"/>
    <s v="purchase"/>
    <n v="34800435"/>
    <s v="Other"/>
    <s v="carfashion"/>
    <n v="43.24"/>
    <n v="564014296"/>
    <n v="5"/>
    <n v="216.20000000000002"/>
    <s v="Low"/>
    <s v="Other"/>
  </r>
  <r>
    <x v="1"/>
    <s v="purchase"/>
    <n v="12703015"/>
    <s v="Other"/>
    <s v="cordiant"/>
    <n v="42.99"/>
    <n v="531848065"/>
    <n v="2"/>
    <n v="85.98"/>
    <s v="Low"/>
    <s v="Other"/>
  </r>
  <r>
    <x v="3"/>
    <s v="purchase"/>
    <n v="12703015"/>
    <s v="Other"/>
    <s v="cordiant"/>
    <n v="42.99"/>
    <n v="561062956"/>
    <n v="3"/>
    <n v="128.97"/>
    <s v="Low"/>
    <s v="Other"/>
  </r>
  <r>
    <x v="3"/>
    <s v="purchase"/>
    <n v="12703015"/>
    <s v="Other"/>
    <s v="cordiant"/>
    <n v="42.99"/>
    <n v="521081045"/>
    <n v="3"/>
    <n v="128.97"/>
    <s v="Low"/>
    <s v="Other"/>
  </r>
  <r>
    <x v="12"/>
    <s v="purchase"/>
    <n v="12718506"/>
    <s v="Other"/>
    <s v="triangle"/>
    <n v="42.47"/>
    <n v="515147590"/>
    <n v="3"/>
    <n v="127.41"/>
    <s v="Low"/>
    <s v="Other"/>
  </r>
  <r>
    <x v="14"/>
    <s v="purchase"/>
    <n v="12700579"/>
    <s v="Other"/>
    <s v="gislaved"/>
    <n v="42.47"/>
    <n v="551777177"/>
    <n v="4"/>
    <n v="169.88"/>
    <s v="Low"/>
    <s v="Other"/>
  </r>
  <r>
    <x v="13"/>
    <s v="purchase"/>
    <n v="12700579"/>
    <s v="Other"/>
    <s v="gislaved"/>
    <n v="42.47"/>
    <n v="551777177"/>
    <n v="2"/>
    <n v="84.94"/>
    <s v="Low"/>
    <s v="Other"/>
  </r>
  <r>
    <x v="5"/>
    <s v="purchase"/>
    <n v="12718506"/>
    <s v="Other"/>
    <s v="triangle"/>
    <n v="42.47"/>
    <n v="517836429"/>
    <n v="4"/>
    <n v="169.88"/>
    <s v="Low"/>
    <s v="Other"/>
  </r>
  <r>
    <x v="8"/>
    <s v="purchase"/>
    <n v="12701231"/>
    <s v="Other"/>
    <s v="sava"/>
    <n v="41.96"/>
    <n v="514932970"/>
    <n v="1"/>
    <n v="41.96"/>
    <s v="Low"/>
    <s v="Other"/>
  </r>
  <r>
    <x v="3"/>
    <s v="purchase"/>
    <n v="12704405"/>
    <s v="Other"/>
    <s v="habilead"/>
    <n v="41.44"/>
    <n v="518677182"/>
    <n v="4"/>
    <n v="165.76"/>
    <s v="Low"/>
    <s v="Other"/>
  </r>
  <r>
    <x v="7"/>
    <s v="purchase"/>
    <n v="12703494"/>
    <s v="Other"/>
    <s v="cordiant"/>
    <n v="41.19"/>
    <n v="563163362"/>
    <n v="4"/>
    <n v="164.76"/>
    <s v="Low"/>
    <s v="Other"/>
  </r>
  <r>
    <x v="11"/>
    <s v="purchase"/>
    <n v="12703494"/>
    <s v="Other"/>
    <s v="cordiant"/>
    <n v="41.19"/>
    <n v="516658643"/>
    <n v="3"/>
    <n v="123.57"/>
    <s v="Low"/>
    <s v="Other"/>
  </r>
  <r>
    <x v="1"/>
    <s v="purchase"/>
    <n v="12704545"/>
    <s v="Other"/>
    <s v="tunga"/>
    <n v="41.19"/>
    <n v="521743410"/>
    <n v="5"/>
    <n v="205.95"/>
    <s v="Low"/>
    <s v="Other"/>
  </r>
  <r>
    <x v="8"/>
    <s v="purchase"/>
    <n v="15200784"/>
    <s v="Other"/>
    <s v="genesis"/>
    <n v="41.18"/>
    <n v="543789100"/>
    <n v="1"/>
    <n v="41.18"/>
    <s v="Low"/>
    <s v="Other"/>
  </r>
  <r>
    <x v="10"/>
    <s v="purchase"/>
    <n v="8700331"/>
    <s v="appliances.personal.hair_cutter"/>
    <s v="philips"/>
    <n v="41.16"/>
    <n v="553778707"/>
    <n v="2"/>
    <n v="82.32"/>
    <s v="Low"/>
    <s v="appliances"/>
  </r>
  <r>
    <x v="5"/>
    <s v="purchase"/>
    <n v="16100699"/>
    <s v="Other"/>
    <s v="rondell"/>
    <n v="41.11"/>
    <n v="516024726"/>
    <n v="2"/>
    <n v="82.22"/>
    <s v="Low"/>
    <s v="Other"/>
  </r>
  <r>
    <x v="14"/>
    <s v="purchase"/>
    <n v="12703498"/>
    <s v="Other"/>
    <s v="cordiant"/>
    <n v="40.93"/>
    <n v="529712266"/>
    <n v="3"/>
    <n v="122.78999999999999"/>
    <s v="Low"/>
    <s v="Other"/>
  </r>
  <r>
    <x v="3"/>
    <s v="purchase"/>
    <n v="12703498"/>
    <s v="Other"/>
    <s v="cordiant"/>
    <n v="40.93"/>
    <n v="555970708"/>
    <n v="4"/>
    <n v="163.72"/>
    <s v="Low"/>
    <s v="Other"/>
  </r>
  <r>
    <x v="12"/>
    <s v="purchase"/>
    <n v="12703498"/>
    <s v="Other"/>
    <s v="cordiant"/>
    <n v="40.93"/>
    <n v="555970708"/>
    <n v="3"/>
    <n v="122.78999999999999"/>
    <s v="Low"/>
    <s v="Other"/>
  </r>
  <r>
    <x v="13"/>
    <s v="purchase"/>
    <n v="12703498"/>
    <s v="Other"/>
    <s v="cordiant"/>
    <n v="40.93"/>
    <n v="519251430"/>
    <n v="2"/>
    <n v="81.86"/>
    <s v="Low"/>
    <s v="Other"/>
  </r>
  <r>
    <x v="2"/>
    <s v="purchase"/>
    <n v="2501796"/>
    <s v="appliances.kitchen.oven"/>
    <s v="artel"/>
    <n v="40.9"/>
    <n v="559995152"/>
    <n v="5"/>
    <n v="204.5"/>
    <s v="Low"/>
    <s v="appliances"/>
  </r>
  <r>
    <x v="9"/>
    <s v="purchase"/>
    <n v="15200778"/>
    <s v="Other"/>
    <s v="volta"/>
    <n v="40.159999999999997"/>
    <n v="544628638"/>
    <n v="5"/>
    <n v="200.79999999999998"/>
    <s v="Low"/>
    <s v="Other"/>
  </r>
  <r>
    <x v="4"/>
    <s v="purchase"/>
    <n v="17301319"/>
    <s v="Other"/>
    <s v="montblanc"/>
    <n v="40.090000000000003"/>
    <n v="561564372"/>
    <n v="3"/>
    <n v="120.27000000000001"/>
    <s v="Low"/>
    <s v="Other"/>
  </r>
  <r>
    <x v="14"/>
    <s v="purchase"/>
    <n v="17301319"/>
    <s v="Other"/>
    <s v="montblanc"/>
    <n v="40.090000000000003"/>
    <n v="561564372"/>
    <n v="3"/>
    <n v="120.27000000000001"/>
    <s v="Low"/>
    <s v="Other"/>
  </r>
  <r>
    <x v="9"/>
    <s v="purchase"/>
    <n v="17301319"/>
    <s v="Other"/>
    <s v="montblanc"/>
    <n v="40.090000000000003"/>
    <n v="561564372"/>
    <n v="4"/>
    <n v="160.36000000000001"/>
    <s v="Low"/>
    <s v="Other"/>
  </r>
  <r>
    <x v="8"/>
    <s v="purchase"/>
    <n v="12711986"/>
    <s v="Other"/>
    <s v="triangle"/>
    <n v="39.9"/>
    <n v="550473072"/>
    <n v="4"/>
    <n v="159.6"/>
    <s v="Low"/>
    <s v="Other"/>
  </r>
  <r>
    <x v="12"/>
    <s v="purchase"/>
    <n v="12703014"/>
    <s v="Other"/>
    <s v="cordiant"/>
    <n v="39.380000000000003"/>
    <n v="561405398"/>
    <n v="2"/>
    <n v="78.760000000000005"/>
    <s v="Low"/>
    <s v="Other"/>
  </r>
  <r>
    <x v="7"/>
    <s v="purchase"/>
    <n v="12703014"/>
    <s v="Other"/>
    <s v="cordiant"/>
    <n v="39.380000000000003"/>
    <n v="512691830"/>
    <n v="3"/>
    <n v="118.14000000000001"/>
    <s v="Low"/>
    <s v="Other"/>
  </r>
  <r>
    <x v="10"/>
    <s v="purchase"/>
    <n v="12703014"/>
    <s v="Other"/>
    <s v="cordiant"/>
    <n v="39.380000000000003"/>
    <n v="516851046"/>
    <n v="2"/>
    <n v="78.760000000000005"/>
    <s v="Low"/>
    <s v="Other"/>
  </r>
  <r>
    <x v="11"/>
    <s v="purchase"/>
    <n v="12703014"/>
    <s v="Other"/>
    <s v="cordiant"/>
    <n v="39.380000000000003"/>
    <n v="518489407"/>
    <n v="3"/>
    <n v="118.14000000000001"/>
    <s v="Low"/>
    <s v="Other"/>
  </r>
  <r>
    <x v="2"/>
    <s v="purchase"/>
    <n v="12703014"/>
    <s v="Other"/>
    <s v="cordiant"/>
    <n v="39.380000000000003"/>
    <n v="513346245"/>
    <n v="1"/>
    <n v="39.380000000000003"/>
    <s v="Low"/>
    <s v="Other"/>
  </r>
  <r>
    <x v="0"/>
    <s v="purchase"/>
    <n v="12703014"/>
    <s v="Other"/>
    <s v="cordiant"/>
    <n v="39.380000000000003"/>
    <n v="536301724"/>
    <n v="5"/>
    <n v="196.9"/>
    <s v="Low"/>
    <s v="Other"/>
  </r>
  <r>
    <x v="2"/>
    <s v="purchase"/>
    <n v="16800592"/>
    <s v="furniture.kitchen.table"/>
    <s v="komfort-s"/>
    <n v="39.36"/>
    <n v="514941863"/>
    <n v="5"/>
    <n v="196.8"/>
    <s v="Low"/>
    <s v="furniture"/>
  </r>
  <r>
    <x v="13"/>
    <s v="purchase"/>
    <n v="4804595"/>
    <s v="electronics.audio.headphone"/>
    <s v="olmio"/>
    <n v="39.299999999999997"/>
    <n v="564408360"/>
    <n v="4"/>
    <n v="157.19999999999999"/>
    <s v="Low"/>
    <s v="electronics"/>
  </r>
  <r>
    <x v="14"/>
    <s v="purchase"/>
    <n v="12710984"/>
    <s v="Other"/>
    <s v="powertrac"/>
    <n v="39.25"/>
    <n v="544192753"/>
    <n v="5"/>
    <n v="196.25"/>
    <s v="Low"/>
    <s v="Other"/>
  </r>
  <r>
    <x v="3"/>
    <s v="purchase"/>
    <n v="15200779"/>
    <s v="Other"/>
    <s v="volta"/>
    <n v="38.869999999999997"/>
    <n v="513944189"/>
    <n v="5"/>
    <n v="194.35"/>
    <s v="Low"/>
    <s v="Other"/>
  </r>
  <r>
    <x v="9"/>
    <s v="purchase"/>
    <n v="3701004"/>
    <s v="appliances.environment.vacuum"/>
    <s v="midea"/>
    <n v="38.590000000000003"/>
    <n v="514721092"/>
    <n v="3"/>
    <n v="115.77000000000001"/>
    <s v="Low"/>
    <s v="appliances"/>
  </r>
  <r>
    <x v="6"/>
    <s v="purchase"/>
    <n v="1600282"/>
    <s v="computers.peripherals.printer"/>
    <s v="hp"/>
    <n v="38.35"/>
    <n v="566188490"/>
    <n v="5"/>
    <n v="191.75"/>
    <s v="Low"/>
    <s v="computers"/>
  </r>
  <r>
    <x v="12"/>
    <s v="purchase"/>
    <n v="12709562"/>
    <s v="Other"/>
    <s v="viatti"/>
    <n v="38.35"/>
    <n v="541920131"/>
    <n v="4"/>
    <n v="153.4"/>
    <s v="Low"/>
    <s v="Other"/>
  </r>
  <r>
    <x v="0"/>
    <s v="purchase"/>
    <n v="12720549"/>
    <s v="Other"/>
    <s v="cordiant"/>
    <n v="38.35"/>
    <n v="517412819"/>
    <n v="2"/>
    <n v="76.7"/>
    <s v="Low"/>
    <s v="Other"/>
  </r>
  <r>
    <x v="8"/>
    <s v="purchase"/>
    <n v="12711216"/>
    <s v="Other"/>
    <s v="cordiant"/>
    <n v="38.35"/>
    <n v="528088267"/>
    <n v="2"/>
    <n v="76.7"/>
    <s v="Low"/>
    <s v="Other"/>
  </r>
  <r>
    <x v="10"/>
    <s v="purchase"/>
    <n v="12720549"/>
    <s v="Other"/>
    <s v="cordiant"/>
    <n v="38.35"/>
    <n v="517140658"/>
    <n v="5"/>
    <n v="191.75"/>
    <s v="Low"/>
    <s v="Other"/>
  </r>
  <r>
    <x v="0"/>
    <s v="purchase"/>
    <n v="13902420"/>
    <s v="construction.components.faucet"/>
    <s v="decoroom"/>
    <n v="38.28"/>
    <n v="514119888"/>
    <n v="3"/>
    <n v="114.84"/>
    <s v="Low"/>
    <s v="construction"/>
  </r>
  <r>
    <x v="12"/>
    <s v="purchase"/>
    <n v="5300157"/>
    <s v="Other"/>
    <s v="philips"/>
    <n v="38.19"/>
    <n v="524033149"/>
    <n v="4"/>
    <n v="152.76"/>
    <s v="Low"/>
    <s v="Other"/>
  </r>
  <r>
    <x v="0"/>
    <s v="purchase"/>
    <n v="12709380"/>
    <s v="Other"/>
    <s v="viatti"/>
    <n v="38.1"/>
    <n v="520761071"/>
    <n v="3"/>
    <n v="114.30000000000001"/>
    <s v="Low"/>
    <s v="Other"/>
  </r>
  <r>
    <x v="6"/>
    <s v="purchase"/>
    <n v="12711508"/>
    <s v="Other"/>
    <s v="tunga"/>
    <n v="37.07"/>
    <n v="541990850"/>
    <n v="4"/>
    <n v="148.28"/>
    <s v="Low"/>
    <s v="Other"/>
  </r>
  <r>
    <x v="10"/>
    <s v="purchase"/>
    <n v="12701256"/>
    <s v="Other"/>
    <s v="triangle"/>
    <n v="36.81"/>
    <n v="513161134"/>
    <n v="2"/>
    <n v="73.62"/>
    <s v="Low"/>
    <s v="Other"/>
  </r>
  <r>
    <x v="10"/>
    <s v="purchase"/>
    <n v="12709713"/>
    <s v="Other"/>
    <s v="hifly"/>
    <n v="36.29"/>
    <n v="553814693"/>
    <n v="4"/>
    <n v="145.16"/>
    <s v="Low"/>
    <s v="Other"/>
  </r>
  <r>
    <x v="1"/>
    <s v="purchase"/>
    <n v="10201178"/>
    <s v="kids.dolls"/>
    <s v="llorens"/>
    <n v="36.07"/>
    <n v="531728455"/>
    <n v="2"/>
    <n v="72.14"/>
    <s v="Low"/>
    <s v="kids"/>
  </r>
  <r>
    <x v="4"/>
    <s v="purchase"/>
    <n v="3100491"/>
    <s v="appliances.kitchen.blender"/>
    <s v="polaris"/>
    <n v="36.01"/>
    <n v="514215660"/>
    <n v="5"/>
    <n v="180.04999999999998"/>
    <s v="Low"/>
    <s v="appliances"/>
  </r>
  <r>
    <x v="11"/>
    <s v="purchase"/>
    <n v="12702930"/>
    <s v="Other"/>
    <s v="cordiant"/>
    <n v="35.78"/>
    <n v="514784807"/>
    <n v="1"/>
    <n v="35.78"/>
    <s v="Low"/>
    <s v="Other"/>
  </r>
  <r>
    <x v="0"/>
    <s v="purchase"/>
    <n v="44700037"/>
    <s v="Other"/>
    <s v="Other"/>
    <n v="35.26"/>
    <n v="563283746"/>
    <n v="4"/>
    <n v="141.04"/>
    <s v="Low"/>
    <s v="Other"/>
  </r>
  <r>
    <x v="14"/>
    <s v="purchase"/>
    <n v="12705843"/>
    <s v="Other"/>
    <s v="Other"/>
    <n v="35.24"/>
    <n v="517896339"/>
    <n v="2"/>
    <n v="70.48"/>
    <s v="Low"/>
    <s v="Other"/>
  </r>
  <r>
    <x v="13"/>
    <s v="purchase"/>
    <n v="16000973"/>
    <s v="Other"/>
    <s v="dauscher"/>
    <n v="34.96"/>
    <n v="513581515"/>
    <n v="3"/>
    <n v="104.88"/>
    <s v="Low"/>
    <s v="Other"/>
  </r>
  <r>
    <x v="13"/>
    <s v="purchase"/>
    <n v="5800822"/>
    <s v="electronics.audio.subwoofer"/>
    <s v="kenwood"/>
    <n v="34.75"/>
    <n v="560172195"/>
    <n v="4"/>
    <n v="139"/>
    <s v="Low"/>
    <s v="electronics"/>
  </r>
  <r>
    <x v="0"/>
    <s v="purchase"/>
    <n v="12718063"/>
    <s v="Other"/>
    <s v="Other"/>
    <n v="34.75"/>
    <n v="514371769"/>
    <n v="5"/>
    <n v="173.75"/>
    <s v="Low"/>
    <s v="Other"/>
  </r>
  <r>
    <x v="5"/>
    <s v="purchase"/>
    <n v="12718063"/>
    <s v="Other"/>
    <s v="Other"/>
    <n v="34.75"/>
    <n v="550123505"/>
    <n v="2"/>
    <n v="69.5"/>
    <s v="Low"/>
    <s v="Other"/>
  </r>
  <r>
    <x v="2"/>
    <s v="purchase"/>
    <n v="12718063"/>
    <s v="Other"/>
    <s v="Other"/>
    <n v="34.75"/>
    <n v="514371769"/>
    <n v="2"/>
    <n v="69.5"/>
    <s v="Low"/>
    <s v="Other"/>
  </r>
  <r>
    <x v="13"/>
    <s v="purchase"/>
    <n v="12718063"/>
    <s v="Other"/>
    <s v="Other"/>
    <n v="34.75"/>
    <n v="550123505"/>
    <n v="2"/>
    <n v="69.5"/>
    <s v="Low"/>
    <s v="Other"/>
  </r>
  <r>
    <x v="4"/>
    <s v="purchase"/>
    <n v="6801076"/>
    <s v="computers.components.hdd"/>
    <s v="apacer"/>
    <n v="34.75"/>
    <n v="513271911"/>
    <n v="4"/>
    <n v="139"/>
    <s v="Low"/>
    <s v="computers"/>
  </r>
  <r>
    <x v="7"/>
    <s v="purchase"/>
    <n v="5100601"/>
    <s v="electronics.clocks"/>
    <s v="jet"/>
    <n v="33.44"/>
    <n v="520744469"/>
    <n v="3"/>
    <n v="100.32"/>
    <s v="Low"/>
    <s v="electronics"/>
  </r>
  <r>
    <x v="4"/>
    <s v="purchase"/>
    <n v="9700230"/>
    <s v="computers.components.power_supply"/>
    <s v="aerocool"/>
    <n v="33.21"/>
    <n v="512431922"/>
    <n v="2"/>
    <n v="66.42"/>
    <s v="Low"/>
    <s v="computers"/>
  </r>
  <r>
    <x v="14"/>
    <s v="purchase"/>
    <n v="3701244"/>
    <s v="appliances.environment.vacuum"/>
    <s v="elenberg"/>
    <n v="32.869999999999997"/>
    <n v="519290140"/>
    <n v="5"/>
    <n v="164.35"/>
    <s v="Low"/>
    <s v="appliances"/>
  </r>
  <r>
    <x v="9"/>
    <s v="purchase"/>
    <n v="12707153"/>
    <s v="Other"/>
    <s v="Other"/>
    <n v="32.69"/>
    <n v="515472639"/>
    <n v="2"/>
    <n v="65.38"/>
    <s v="Low"/>
    <s v="Other"/>
  </r>
  <r>
    <x v="1"/>
    <s v="purchase"/>
    <n v="12711053"/>
    <s v="Other"/>
    <s v="tunga"/>
    <n v="32.69"/>
    <n v="544120959"/>
    <n v="2"/>
    <n v="65.38"/>
    <s v="Low"/>
    <s v="Other"/>
  </r>
  <r>
    <x v="4"/>
    <s v="purchase"/>
    <n v="9800313"/>
    <s v="Other"/>
    <s v="Other"/>
    <n v="32.5"/>
    <n v="512431922"/>
    <n v="4"/>
    <n v="130"/>
    <s v="Low"/>
    <s v="Other"/>
  </r>
  <r>
    <x v="14"/>
    <s v="purchase"/>
    <n v="12701967"/>
    <s v="Other"/>
    <s v="cordiant"/>
    <n v="32.18"/>
    <n v="550123505"/>
    <n v="5"/>
    <n v="160.9"/>
    <s v="Low"/>
    <s v="Other"/>
  </r>
  <r>
    <x v="4"/>
    <s v="purchase"/>
    <n v="17300761"/>
    <s v="Other"/>
    <s v="moschino"/>
    <n v="32.17"/>
    <n v="551673569"/>
    <n v="3"/>
    <n v="96.51"/>
    <s v="Low"/>
    <s v="Other"/>
  </r>
  <r>
    <x v="2"/>
    <s v="purchase"/>
    <n v="12713435"/>
    <s v="Other"/>
    <s v="tunga"/>
    <n v="31.92"/>
    <n v="517653365"/>
    <n v="3"/>
    <n v="95.76"/>
    <s v="Low"/>
    <s v="Other"/>
  </r>
  <r>
    <x v="10"/>
    <s v="purchase"/>
    <n v="48300031"/>
    <s v="Other"/>
    <s v="Other"/>
    <n v="31.91"/>
    <n v="547211786"/>
    <n v="2"/>
    <n v="63.82"/>
    <s v="Low"/>
    <s v="Other"/>
  </r>
  <r>
    <x v="7"/>
    <s v="purchase"/>
    <n v="17301345"/>
    <s v="Other"/>
    <s v="lanvin"/>
    <n v="30.89"/>
    <n v="512682396"/>
    <n v="5"/>
    <n v="154.44999999999999"/>
    <s v="Low"/>
    <s v="Other"/>
  </r>
  <r>
    <x v="14"/>
    <s v="purchase"/>
    <n v="3700926"/>
    <s v="appliances.environment.vacuum"/>
    <s v="samsung"/>
    <n v="64.02"/>
    <n v="517169002"/>
    <n v="3"/>
    <n v="192.06"/>
    <s v="Low"/>
    <s v="appliances"/>
  </r>
  <r>
    <x v="2"/>
    <s v="purchase"/>
    <n v="3700926"/>
    <s v="appliances.environment.vacuum"/>
    <s v="samsung"/>
    <n v="64.02"/>
    <n v="552005062"/>
    <n v="1"/>
    <n v="64.02"/>
    <s v="Low"/>
    <s v="appliances"/>
  </r>
  <r>
    <x v="8"/>
    <s v="purchase"/>
    <n v="12709558"/>
    <s v="Other"/>
    <s v="Other"/>
    <n v="30.76"/>
    <n v="547320561"/>
    <n v="1"/>
    <n v="30.76"/>
    <s v="Low"/>
    <s v="Other"/>
  </r>
  <r>
    <x v="8"/>
    <s v="purchase"/>
    <n v="21402432"/>
    <s v="electronics.clocks"/>
    <s v="Other"/>
    <n v="30.37"/>
    <n v="564993535"/>
    <n v="5"/>
    <n v="151.85"/>
    <s v="Low"/>
    <s v="electronics"/>
  </r>
  <r>
    <x v="11"/>
    <s v="purchase"/>
    <n v="13900090"/>
    <s v="construction.components.faucet"/>
    <s v="decoroom"/>
    <n v="30.36"/>
    <n v="514119888"/>
    <n v="5"/>
    <n v="151.80000000000001"/>
    <s v="Low"/>
    <s v="construction"/>
  </r>
  <r>
    <x v="10"/>
    <s v="purchase"/>
    <n v="11200451"/>
    <s v="appliances.personal.scales"/>
    <s v="huawei"/>
    <n v="30.34"/>
    <n v="532841906"/>
    <n v="5"/>
    <n v="151.69999999999999"/>
    <s v="Low"/>
    <s v="appliances"/>
  </r>
  <r>
    <x v="12"/>
    <s v="purchase"/>
    <n v="4802401"/>
    <s v="electronics.audio.headphone"/>
    <s v="samsung"/>
    <n v="43.43"/>
    <n v="560932165"/>
    <n v="5"/>
    <n v="217.15"/>
    <s v="Low"/>
    <s v="electronics"/>
  </r>
  <r>
    <x v="13"/>
    <s v="purchase"/>
    <n v="17300762"/>
    <s v="Other"/>
    <s v="moschino"/>
    <n v="29.6"/>
    <n v="513052669"/>
    <n v="1"/>
    <n v="29.6"/>
    <s v="Low"/>
    <s v="Other"/>
  </r>
  <r>
    <x v="8"/>
    <s v="purchase"/>
    <n v="5100816"/>
    <s v="Other"/>
    <s v="xiaomi"/>
    <n v="29.58"/>
    <n v="537372295"/>
    <n v="5"/>
    <n v="147.89999999999998"/>
    <s v="Low"/>
    <s v="Other"/>
  </r>
  <r>
    <x v="5"/>
    <s v="purchase"/>
    <n v="5100816"/>
    <s v="Other"/>
    <s v="xiaomi"/>
    <n v="29.58"/>
    <n v="513277928"/>
    <n v="3"/>
    <n v="88.74"/>
    <s v="Low"/>
    <s v="Other"/>
  </r>
  <r>
    <x v="6"/>
    <s v="purchase"/>
    <n v="5100816"/>
    <s v="Other"/>
    <s v="xiaomi"/>
    <n v="29.58"/>
    <n v="513771111"/>
    <n v="2"/>
    <n v="59.16"/>
    <s v="Low"/>
    <s v="Other"/>
  </r>
  <r>
    <x v="10"/>
    <s v="purchase"/>
    <n v="5100816"/>
    <s v="Other"/>
    <s v="xiaomi"/>
    <n v="29.58"/>
    <n v="566294781"/>
    <n v="4"/>
    <n v="118.32"/>
    <s v="Low"/>
    <s v="Other"/>
  </r>
  <r>
    <x v="8"/>
    <s v="purchase"/>
    <n v="5100816"/>
    <s v="Other"/>
    <s v="xiaomi"/>
    <n v="29.58"/>
    <n v="566298502"/>
    <n v="5"/>
    <n v="147.89999999999998"/>
    <s v="Low"/>
    <s v="Other"/>
  </r>
  <r>
    <x v="2"/>
    <s v="purchase"/>
    <n v="5100816"/>
    <s v="Other"/>
    <s v="xiaomi"/>
    <n v="29.58"/>
    <n v="542862170"/>
    <n v="3"/>
    <n v="88.74"/>
    <s v="Low"/>
    <s v="Other"/>
  </r>
  <r>
    <x v="4"/>
    <s v="purchase"/>
    <n v="5100816"/>
    <s v="Other"/>
    <s v="xiaomi"/>
    <n v="29.58"/>
    <n v="542862170"/>
    <n v="3"/>
    <n v="88.74"/>
    <s v="Low"/>
    <s v="Other"/>
  </r>
  <r>
    <x v="12"/>
    <s v="purchase"/>
    <n v="5100816"/>
    <s v="Other"/>
    <s v="xiaomi"/>
    <n v="29.58"/>
    <n v="516700842"/>
    <n v="5"/>
    <n v="147.89999999999998"/>
    <s v="Low"/>
    <s v="Other"/>
  </r>
  <r>
    <x v="11"/>
    <s v="purchase"/>
    <n v="5100816"/>
    <s v="Other"/>
    <s v="xiaomi"/>
    <n v="29.58"/>
    <n v="543764380"/>
    <n v="4"/>
    <n v="118.32"/>
    <s v="Low"/>
    <s v="Other"/>
  </r>
  <r>
    <x v="11"/>
    <s v="purchase"/>
    <n v="5100816"/>
    <s v="Other"/>
    <s v="xiaomi"/>
    <n v="29.58"/>
    <n v="519306775"/>
    <n v="1"/>
    <n v="29.58"/>
    <s v="Low"/>
    <s v="Other"/>
  </r>
  <r>
    <x v="2"/>
    <s v="purchase"/>
    <n v="4500770"/>
    <s v="appliances.kitchen.hob"/>
    <s v="greta"/>
    <n v="29.16"/>
    <n v="566285354"/>
    <n v="5"/>
    <n v="145.80000000000001"/>
    <s v="Low"/>
    <s v="appliances"/>
  </r>
  <r>
    <x v="9"/>
    <s v="purchase"/>
    <n v="5300343"/>
    <s v="Other"/>
    <s v="redmond"/>
    <n v="28.29"/>
    <n v="514758545"/>
    <n v="1"/>
    <n v="28.29"/>
    <s v="Low"/>
    <s v="Other"/>
  </r>
  <r>
    <x v="14"/>
    <s v="purchase"/>
    <n v="5400640"/>
    <s v="Other"/>
    <s v="Other"/>
    <n v="28.29"/>
    <n v="526175596"/>
    <n v="4"/>
    <n v="113.16"/>
    <s v="Low"/>
    <s v="Other"/>
  </r>
  <r>
    <x v="0"/>
    <s v="purchase"/>
    <n v="9200550"/>
    <s v="computers.peripherals.keyboard"/>
    <s v="Other"/>
    <n v="28.29"/>
    <n v="513287237"/>
    <n v="1"/>
    <n v="28.29"/>
    <s v="Low"/>
    <s v="computers"/>
  </r>
  <r>
    <x v="1"/>
    <s v="purchase"/>
    <n v="8800494"/>
    <s v="electronics.telephone"/>
    <s v="texet"/>
    <n v="28"/>
    <n v="514960497"/>
    <n v="5"/>
    <n v="140"/>
    <s v="Low"/>
    <s v="electronics"/>
  </r>
  <r>
    <x v="3"/>
    <s v="purchase"/>
    <n v="12000021"/>
    <s v="Other"/>
    <s v="caramelia"/>
    <n v="25.71"/>
    <n v="512560016"/>
    <n v="4"/>
    <n v="102.84"/>
    <s v="Low"/>
    <s v="Other"/>
  </r>
  <r>
    <x v="13"/>
    <s v="purchase"/>
    <n v="12000021"/>
    <s v="Other"/>
    <s v="caramelia"/>
    <n v="25.71"/>
    <n v="537129970"/>
    <n v="1"/>
    <n v="25.71"/>
    <s v="Low"/>
    <s v="Other"/>
  </r>
  <r>
    <x v="4"/>
    <s v="purchase"/>
    <n v="10900305"/>
    <s v="appliances.kitchen.mixer"/>
    <s v="elenberg"/>
    <n v="25.71"/>
    <n v="542413122"/>
    <n v="5"/>
    <n v="128.55000000000001"/>
    <s v="Low"/>
    <s v="appliances"/>
  </r>
  <r>
    <x v="3"/>
    <s v="purchase"/>
    <n v="53300006"/>
    <s v="Other"/>
    <s v="perilla"/>
    <n v="25.71"/>
    <n v="566299901"/>
    <n v="3"/>
    <n v="77.13"/>
    <s v="Low"/>
    <s v="Other"/>
  </r>
  <r>
    <x v="8"/>
    <s v="purchase"/>
    <n v="4803186"/>
    <s v="electronics.audio.headphone"/>
    <s v="harper"/>
    <n v="25.71"/>
    <n v="566303036"/>
    <n v="1"/>
    <n v="25.71"/>
    <s v="Low"/>
    <s v="electronics"/>
  </r>
  <r>
    <x v="2"/>
    <s v="purchase"/>
    <n v="52900057"/>
    <s v="accessories.bag"/>
    <s v="stayer"/>
    <n v="25.56"/>
    <n v="559972189"/>
    <n v="1"/>
    <n v="25.56"/>
    <s v="Low"/>
    <s v="accessories"/>
  </r>
  <r>
    <x v="14"/>
    <s v="purchase"/>
    <n v="7203227"/>
    <s v="Other"/>
    <s v="lego"/>
    <n v="25.48"/>
    <n v="513368484"/>
    <n v="3"/>
    <n v="76.44"/>
    <s v="Low"/>
    <s v="Other"/>
  </r>
  <r>
    <x v="3"/>
    <s v="purchase"/>
    <n v="26500502"/>
    <s v="Other"/>
    <s v="vega"/>
    <n v="25.48"/>
    <n v="512400502"/>
    <n v="1"/>
    <n v="25.48"/>
    <s v="Low"/>
    <s v="Other"/>
  </r>
  <r>
    <x v="13"/>
    <s v="purchase"/>
    <n v="7600028"/>
    <s v="Other"/>
    <s v="tp-link"/>
    <n v="24.63"/>
    <n v="515477009"/>
    <n v="3"/>
    <n v="73.89"/>
    <s v="Low"/>
    <s v="Other"/>
  </r>
  <r>
    <x v="5"/>
    <s v="purchase"/>
    <n v="8800929"/>
    <s v="electronics.telephone"/>
    <s v="bq"/>
    <n v="24.43"/>
    <n v="566251570"/>
    <n v="2"/>
    <n v="48.86"/>
    <s v="Low"/>
    <s v="electronics"/>
  </r>
  <r>
    <x v="14"/>
    <s v="purchase"/>
    <n v="3800548"/>
    <s v="appliances.iron"/>
    <s v="vitek"/>
    <n v="23.12"/>
    <n v="529541682"/>
    <n v="5"/>
    <n v="115.60000000000001"/>
    <s v="Low"/>
    <s v="appliances"/>
  </r>
  <r>
    <x v="8"/>
    <s v="purchase"/>
    <n v="4804660"/>
    <s v="electronics.audio.headphone"/>
    <s v="xiaomi"/>
    <n v="23.05"/>
    <n v="528133044"/>
    <n v="5"/>
    <n v="115.25"/>
    <s v="Low"/>
    <s v="electronics"/>
  </r>
  <r>
    <x v="5"/>
    <s v="purchase"/>
    <n v="23800024"/>
    <s v="Other"/>
    <s v="ecotex"/>
    <n v="22.91"/>
    <n v="551570636"/>
    <n v="5"/>
    <n v="114.55"/>
    <s v="Low"/>
    <s v="Other"/>
  </r>
  <r>
    <x v="11"/>
    <s v="purchase"/>
    <n v="3100553"/>
    <s v="appliances.kitchen.blender"/>
    <s v="gorenje"/>
    <n v="22.91"/>
    <n v="566304295"/>
    <n v="3"/>
    <n v="68.73"/>
    <s v="Low"/>
    <s v="appliances"/>
  </r>
  <r>
    <x v="9"/>
    <s v="purchase"/>
    <n v="5100768"/>
    <s v="Other"/>
    <s v="samsung"/>
    <n v="29.86"/>
    <n v="518621167"/>
    <n v="4"/>
    <n v="119.44"/>
    <s v="Low"/>
    <s v="Other"/>
  </r>
  <r>
    <x v="7"/>
    <s v="purchase"/>
    <n v="4804295"/>
    <s v="electronics.audio.headphone"/>
    <s v="xiaomi"/>
    <n v="22.8"/>
    <n v="543676870"/>
    <n v="3"/>
    <n v="68.400000000000006"/>
    <s v="Low"/>
    <s v="electronics"/>
  </r>
  <r>
    <x v="5"/>
    <s v="purchase"/>
    <n v="4804295"/>
    <s v="electronics.audio.headphone"/>
    <s v="xiaomi"/>
    <n v="22.8"/>
    <n v="566285490"/>
    <n v="2"/>
    <n v="45.6"/>
    <s v="Low"/>
    <s v="electronics"/>
  </r>
  <r>
    <x v="14"/>
    <s v="purchase"/>
    <n v="4804295"/>
    <s v="electronics.audio.headphone"/>
    <s v="xiaomi"/>
    <n v="22.8"/>
    <n v="519178326"/>
    <n v="2"/>
    <n v="45.6"/>
    <s v="Low"/>
    <s v="electronics"/>
  </r>
  <r>
    <x v="6"/>
    <s v="purchase"/>
    <n v="4804295"/>
    <s v="electronics.audio.headphone"/>
    <s v="xiaomi"/>
    <n v="22.8"/>
    <n v="565620308"/>
    <n v="1"/>
    <n v="22.8"/>
    <s v="Low"/>
    <s v="electronics"/>
  </r>
  <r>
    <x v="9"/>
    <s v="purchase"/>
    <n v="4804295"/>
    <s v="electronics.audio.headphone"/>
    <s v="xiaomi"/>
    <n v="22.8"/>
    <n v="512758377"/>
    <n v="4"/>
    <n v="91.2"/>
    <s v="Low"/>
    <s v="electronics"/>
  </r>
  <r>
    <x v="4"/>
    <s v="purchase"/>
    <n v="4804295"/>
    <s v="electronics.audio.headphone"/>
    <s v="xiaomi"/>
    <n v="22.8"/>
    <n v="519438960"/>
    <n v="4"/>
    <n v="91.2"/>
    <s v="Low"/>
    <s v="electronics"/>
  </r>
  <r>
    <x v="10"/>
    <s v="purchase"/>
    <n v="4804295"/>
    <s v="electronics.audio.headphone"/>
    <s v="xiaomi"/>
    <n v="22.8"/>
    <n v="547542934"/>
    <n v="1"/>
    <n v="22.8"/>
    <s v="Low"/>
    <s v="electronics"/>
  </r>
  <r>
    <x v="1"/>
    <s v="purchase"/>
    <n v="4804295"/>
    <s v="electronics.audio.headphone"/>
    <s v="xiaomi"/>
    <n v="22.8"/>
    <n v="561325622"/>
    <n v="3"/>
    <n v="68.400000000000006"/>
    <s v="Low"/>
    <s v="electronics"/>
  </r>
  <r>
    <x v="3"/>
    <s v="purchase"/>
    <n v="4804295"/>
    <s v="electronics.audio.headphone"/>
    <s v="xiaomi"/>
    <n v="22.8"/>
    <n v="512495144"/>
    <n v="1"/>
    <n v="22.8"/>
    <s v="Low"/>
    <s v="electronics"/>
  </r>
  <r>
    <x v="11"/>
    <s v="purchase"/>
    <n v="11600160"/>
    <s v="computers.desktop"/>
    <s v="microlab"/>
    <n v="22.2"/>
    <n v="565960289"/>
    <n v="5"/>
    <n v="111"/>
    <s v="Low"/>
    <s v="computers"/>
  </r>
  <r>
    <x v="10"/>
    <s v="purchase"/>
    <n v="14400024"/>
    <s v="Other"/>
    <s v="xiaomi"/>
    <n v="21.85"/>
    <n v="554425254"/>
    <n v="1"/>
    <n v="21.85"/>
    <s v="Low"/>
    <s v="Other"/>
  </r>
  <r>
    <x v="4"/>
    <s v="purchase"/>
    <n v="4400597"/>
    <s v="appliances.kitchen.coffee_machine"/>
    <s v="vinzer"/>
    <n v="21.6"/>
    <n v="515838774"/>
    <n v="5"/>
    <n v="108"/>
    <s v="Low"/>
    <s v="appliances"/>
  </r>
  <r>
    <x v="7"/>
    <s v="purchase"/>
    <n v="4802235"/>
    <s v="electronics.audio.headphone"/>
    <s v="jbl"/>
    <n v="20.57"/>
    <n v="553781327"/>
    <n v="1"/>
    <n v="20.57"/>
    <s v="Low"/>
    <s v="electronics"/>
  </r>
  <r>
    <x v="6"/>
    <s v="purchase"/>
    <n v="19600402"/>
    <s v="Other"/>
    <s v="Other"/>
    <n v="20.57"/>
    <n v="553706204"/>
    <n v="4"/>
    <n v="82.28"/>
    <s v="Low"/>
    <s v="Other"/>
  </r>
  <r>
    <x v="5"/>
    <s v="purchase"/>
    <n v="5300639"/>
    <s v="Other"/>
    <s v="vitek"/>
    <n v="20.34"/>
    <n v="518291241"/>
    <n v="2"/>
    <n v="40.68"/>
    <s v="Low"/>
    <s v="Other"/>
  </r>
  <r>
    <x v="14"/>
    <s v="purchase"/>
    <n v="11200505"/>
    <s v="appliances.personal.scales"/>
    <s v="xiaomi"/>
    <n v="20.05"/>
    <n v="566302712"/>
    <n v="1"/>
    <n v="20.05"/>
    <s v="Low"/>
    <s v="appliances"/>
  </r>
  <r>
    <x v="5"/>
    <s v="purchase"/>
    <n v="17302281"/>
    <s v="Other"/>
    <s v="fly"/>
    <n v="18.87"/>
    <n v="556936796"/>
    <n v="4"/>
    <n v="75.48"/>
    <s v="Low"/>
    <s v="Other"/>
  </r>
  <r>
    <x v="2"/>
    <s v="purchase"/>
    <n v="23000067"/>
    <s v="Other"/>
    <s v="shell"/>
    <n v="18.53"/>
    <n v="540801209"/>
    <n v="5"/>
    <n v="92.65"/>
    <s v="Low"/>
    <s v="Other"/>
  </r>
  <r>
    <x v="2"/>
    <s v="purchase"/>
    <n v="16700794"/>
    <s v="furniture.kitchen.chair"/>
    <s v="fly"/>
    <n v="17.25"/>
    <n v="546273062"/>
    <n v="4"/>
    <n v="69"/>
    <s v="Low"/>
    <s v="furniture"/>
  </r>
  <r>
    <x v="1"/>
    <s v="purchase"/>
    <n v="17302272"/>
    <s v="Other"/>
    <s v="Other"/>
    <n v="17.149999999999999"/>
    <n v="563472655"/>
    <n v="2"/>
    <n v="34.299999999999997"/>
    <s v="Low"/>
    <s v="Other"/>
  </r>
  <r>
    <x v="0"/>
    <s v="purchase"/>
    <n v="27900017"/>
    <s v="Other"/>
    <s v="tuka"/>
    <n v="16.73"/>
    <n v="512455622"/>
    <n v="5"/>
    <n v="83.65"/>
    <s v="Low"/>
    <s v="Other"/>
  </r>
  <r>
    <x v="9"/>
    <s v="purchase"/>
    <n v="9200640"/>
    <s v="computers.peripherals.keyboard"/>
    <s v="defender"/>
    <n v="16.41"/>
    <n v="512431922"/>
    <n v="3"/>
    <n v="49.230000000000004"/>
    <s v="Low"/>
    <s v="computers"/>
  </r>
  <r>
    <x v="8"/>
    <s v="purchase"/>
    <n v="29501135"/>
    <s v="Other"/>
    <s v="Other"/>
    <n v="16.350000000000001"/>
    <n v="565142238"/>
    <n v="3"/>
    <n v="49.050000000000004"/>
    <s v="Low"/>
    <s v="Other"/>
  </r>
  <r>
    <x v="0"/>
    <s v="purchase"/>
    <n v="4400189"/>
    <s v="appliances.kitchen.coffee_machine"/>
    <s v="maxwell"/>
    <n v="15.42"/>
    <n v="521492716"/>
    <n v="3"/>
    <n v="46.26"/>
    <s v="Low"/>
    <s v="appliances"/>
  </r>
  <r>
    <x v="0"/>
    <s v="purchase"/>
    <n v="5301029"/>
    <s v="Other"/>
    <s v="galaxy"/>
    <n v="14.39"/>
    <n v="565730826"/>
    <n v="2"/>
    <n v="28.78"/>
    <s v="Low"/>
    <s v="Other"/>
  </r>
  <r>
    <x v="5"/>
    <s v="purchase"/>
    <n v="19700000"/>
    <s v="Other"/>
    <s v="nan"/>
    <n v="13.3"/>
    <n v="564564914"/>
    <n v="5"/>
    <n v="66.5"/>
    <s v="Low"/>
    <s v="Other"/>
  </r>
  <r>
    <x v="10"/>
    <s v="purchase"/>
    <n v="32400857"/>
    <s v="Other"/>
    <s v="wallberry"/>
    <n v="12.87"/>
    <n v="514701561"/>
    <n v="3"/>
    <n v="38.61"/>
    <s v="Low"/>
    <s v="Other"/>
  </r>
  <r>
    <x v="1"/>
    <s v="purchase"/>
    <n v="5301434"/>
    <s v="Other"/>
    <s v="elenberg"/>
    <n v="12.84"/>
    <n v="555566178"/>
    <n v="5"/>
    <n v="64.2"/>
    <s v="Low"/>
    <s v="Other"/>
  </r>
  <r>
    <x v="4"/>
    <s v="purchase"/>
    <n v="32403915"/>
    <s v="Other"/>
    <s v="wallberry"/>
    <n v="12.74"/>
    <n v="532276067"/>
    <n v="5"/>
    <n v="63.7"/>
    <s v="Low"/>
    <s v="Other"/>
  </r>
  <r>
    <x v="3"/>
    <s v="purchase"/>
    <n v="32402010"/>
    <s v="Other"/>
    <s v="Other"/>
    <n v="12.47"/>
    <n v="514701561"/>
    <n v="5"/>
    <n v="62.35"/>
    <s v="Low"/>
    <s v="Other"/>
  </r>
  <r>
    <x v="7"/>
    <s v="purchase"/>
    <n v="32402010"/>
    <s v="Other"/>
    <s v="Other"/>
    <n v="12.47"/>
    <n v="514701561"/>
    <n v="5"/>
    <n v="62.35"/>
    <s v="Low"/>
    <s v="Other"/>
  </r>
  <r>
    <x v="6"/>
    <s v="purchase"/>
    <n v="19700163"/>
    <s v="Other"/>
    <s v="similac"/>
    <n v="11.56"/>
    <n v="566298552"/>
    <n v="5"/>
    <n v="57.800000000000004"/>
    <s v="Low"/>
    <s v="Other"/>
  </r>
  <r>
    <x v="11"/>
    <s v="purchase"/>
    <n v="19700126"/>
    <s v="Other"/>
    <s v="nutricia"/>
    <n v="11.02"/>
    <n v="530337676"/>
    <n v="5"/>
    <n v="55.099999999999994"/>
    <s v="Low"/>
    <s v="Other"/>
  </r>
  <r>
    <x v="13"/>
    <s v="purchase"/>
    <n v="26205694"/>
    <s v="Other"/>
    <s v="sokolov"/>
    <n v="10.81"/>
    <n v="517829094"/>
    <n v="1"/>
    <n v="10.81"/>
    <s v="Low"/>
    <s v="Other"/>
  </r>
  <r>
    <x v="9"/>
    <s v="purchase"/>
    <n v="26026508"/>
    <s v="Other"/>
    <s v="Other"/>
    <n v="10.31"/>
    <n v="513323240"/>
    <n v="4"/>
    <n v="41.24"/>
    <s v="Low"/>
    <s v="Other"/>
  </r>
  <r>
    <x v="13"/>
    <s v="purchase"/>
    <n v="29501031"/>
    <s v="Other"/>
    <s v="Other"/>
    <n v="9.27"/>
    <n v="566123263"/>
    <n v="3"/>
    <n v="27.81"/>
    <s v="Low"/>
    <s v="Other"/>
  </r>
  <r>
    <x v="11"/>
    <s v="purchase"/>
    <n v="26006231"/>
    <s v="Other"/>
    <s v="Other"/>
    <n v="9.24"/>
    <n v="551134677"/>
    <n v="1"/>
    <n v="9.24"/>
    <s v="Low"/>
    <s v="Other"/>
  </r>
  <r>
    <x v="10"/>
    <s v="purchase"/>
    <n v="53700000"/>
    <s v="Other"/>
    <s v="elite"/>
    <n v="9.23"/>
    <n v="515421827"/>
    <n v="2"/>
    <n v="18.46"/>
    <s v="Low"/>
    <s v="Other"/>
  </r>
  <r>
    <x v="8"/>
    <s v="purchase"/>
    <n v="4802159"/>
    <s v="electronics.audio.headphone"/>
    <s v="jbl"/>
    <n v="8.49"/>
    <n v="566290767"/>
    <n v="5"/>
    <n v="42.45"/>
    <s v="Low"/>
    <s v="electronics"/>
  </r>
  <r>
    <x v="2"/>
    <s v="purchase"/>
    <n v="24100193"/>
    <s v="Other"/>
    <s v="Other"/>
    <n v="7.75"/>
    <n v="518340557"/>
    <n v="3"/>
    <n v="23.25"/>
    <s v="Low"/>
    <s v="Other"/>
  </r>
  <r>
    <x v="10"/>
    <s v="purchase"/>
    <n v="10700973"/>
    <s v="Other"/>
    <s v="bethesda"/>
    <n v="7.72"/>
    <n v="513393358"/>
    <n v="1"/>
    <n v="7.72"/>
    <s v="Low"/>
    <s v="Other"/>
  </r>
  <r>
    <x v="1"/>
    <s v="purchase"/>
    <n v="3701338"/>
    <s v="appliances.environment.vacuum"/>
    <s v="kolner"/>
    <n v="7.72"/>
    <n v="551827172"/>
    <n v="1"/>
    <n v="7.72"/>
    <s v="Low"/>
    <s v="appliances"/>
  </r>
  <r>
    <x v="7"/>
    <s v="purchase"/>
    <n v="5300871"/>
    <s v="Other"/>
    <s v="scarlett"/>
    <n v="7.7"/>
    <n v="512498743"/>
    <n v="2"/>
    <n v="15.4"/>
    <s v="Low"/>
    <s v="Other"/>
  </r>
  <r>
    <x v="7"/>
    <s v="purchase"/>
    <n v="6301402"/>
    <s v="appliances.kitchen.kettle"/>
    <s v="willmark"/>
    <n v="7.7"/>
    <n v="552014184"/>
    <n v="3"/>
    <n v="23.1"/>
    <s v="Low"/>
    <s v="appliances"/>
  </r>
  <r>
    <x v="12"/>
    <s v="purchase"/>
    <n v="6301402"/>
    <s v="appliances.kitchen.kettle"/>
    <s v="willmark"/>
    <n v="7.7"/>
    <n v="564353163"/>
    <n v="4"/>
    <n v="30.8"/>
    <s v="Low"/>
    <s v="appliances"/>
  </r>
  <r>
    <x v="8"/>
    <s v="purchase"/>
    <n v="15901903"/>
    <s v="Other"/>
    <s v="ikea"/>
    <n v="4.09"/>
    <n v="557948316"/>
    <n v="4"/>
    <n v="16.36"/>
    <s v="Low"/>
    <s v="Other"/>
  </r>
  <r>
    <x v="0"/>
    <s v="purchase"/>
    <n v="18001338"/>
    <s v="Other"/>
    <s v="samsung"/>
    <n v="3.84"/>
    <n v="558463342"/>
    <n v="3"/>
    <n v="11.52"/>
    <s v="Low"/>
    <s v="Othe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BFD3A7-1928-4006-80C5-F675AB8C7DFB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L3:M19" firstHeaderRow="1" firstDataRow="1" firstDataCol="1"/>
  <pivotFields count="11">
    <pivotField axis="axisRow" numFmtId="14" showAll="0">
      <items count="16">
        <item x="4"/>
        <item x="10"/>
        <item x="3"/>
        <item x="5"/>
        <item x="13"/>
        <item x="1"/>
        <item x="0"/>
        <item x="14"/>
        <item x="8"/>
        <item x="7"/>
        <item x="2"/>
        <item x="11"/>
        <item x="9"/>
        <item x="12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 of TotalPurchase" fld="8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4A4ACF7-1CB3-4EA9-B1EB-51B0901735AD}" autoFormatId="16" applyNumberFormats="0" applyBorderFormats="0" applyFontFormats="0" applyPatternFormats="0" applyAlignmentFormats="0" applyWidthHeightFormats="0">
  <queryTableRefresh nextId="13" unboundColumnsRight="2">
    <queryTableFields count="11">
      <queryTableField id="1" name="Date" tableColumnId="1"/>
      <queryTableField id="2" name="EventType" tableColumnId="2"/>
      <queryTableField id="3" name="Product" tableColumnId="3"/>
      <queryTableField id="4" name="Category" tableColumnId="4"/>
      <queryTableField id="5" name="Brand" tableColumnId="5"/>
      <queryTableField id="6" name="Price" tableColumnId="6"/>
      <queryTableField id="7" name="CustomerID" tableColumnId="7"/>
      <queryTableField id="8" name="Quantity" tableColumnId="8"/>
      <queryTableField id="9" name="TotalPurchase" tableColumnId="9"/>
      <queryTableField id="11" dataBound="0" tableColumnId="10"/>
      <queryTableField id="12" dataBound="0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DC4642D-F005-4FDA-BFDC-CA1DBAEEC67D}" name="SalesData" displayName="SalesData" ref="A1:K994" tableType="queryTable" totalsRowShown="0" headerRowDxfId="12" headerRowBorderDxfId="11">
  <autoFilter ref="A1:K994" xr:uid="{3DC4642D-F005-4FDA-BFDC-CA1DBAEEC67D}"/>
  <sortState xmlns:xlrd2="http://schemas.microsoft.com/office/spreadsheetml/2017/richdata2" ref="A2:I994">
    <sortCondition ref="E1:E994"/>
  </sortState>
  <tableColumns count="11">
    <tableColumn id="1" xr3:uid="{81452829-A18B-44B3-86BA-CE0117E2F3A8}" uniqueName="1" name="Date" queryTableFieldId="1" dataDxfId="10"/>
    <tableColumn id="2" xr3:uid="{2A32A8A8-D629-4EFE-9C51-887C5281B015}" uniqueName="2" name="EventType" queryTableFieldId="2" dataDxfId="9"/>
    <tableColumn id="3" xr3:uid="{7A5238ED-5803-42EB-AB7A-2D44984783AE}" uniqueName="3" name="Product" queryTableFieldId="3" dataDxfId="8"/>
    <tableColumn id="4" xr3:uid="{B4D4B536-B561-4059-AFBE-71323DFDFCCD}" uniqueName="4" name="Category" queryTableFieldId="4" dataDxfId="7"/>
    <tableColumn id="5" xr3:uid="{C0F526F2-910C-4BC8-BE85-312533234D11}" uniqueName="5" name="Brand" queryTableFieldId="5" dataDxfId="6"/>
    <tableColumn id="6" xr3:uid="{8982425E-B9D5-40E5-A9FD-CAEACF883886}" uniqueName="6" name="Price" queryTableFieldId="6" dataDxfId="5"/>
    <tableColumn id="7" xr3:uid="{E1FB2DEA-64CB-4007-9C2B-329B06349788}" uniqueName="7" name="CustomerID" queryTableFieldId="7" dataDxfId="4"/>
    <tableColumn id="8" xr3:uid="{FB1A70CA-0113-43BA-94D0-DF579D3255D6}" uniqueName="8" name="Quantity" queryTableFieldId="8" dataDxfId="3"/>
    <tableColumn id="9" xr3:uid="{8F0C6E17-6EDE-450A-B4C3-B972CAA40FB5}" uniqueName="9" name="TotalPurchase" queryTableFieldId="9" dataDxfId="2"/>
    <tableColumn id="10" xr3:uid="{1DBF24E1-9D2B-4D99-91F5-A1F58CE565B7}" uniqueName="10" name="PriceRange" queryTableFieldId="11" dataDxfId="1">
      <calculatedColumnFormula>IF(F2&lt;500, "Low", IF(F2&lt;1500, "Medium", "High"))</calculatedColumnFormula>
    </tableColumn>
    <tableColumn id="11" xr3:uid="{8DF57AF3-2FF7-4923-AAB4-0C5B98B1A6BF}" uniqueName="11" name="MainCategory" queryTableFieldId="1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FF0000"/>
      </a:accent1>
      <a:accent2>
        <a:srgbClr val="0070C0"/>
      </a:accent2>
      <a:accent3>
        <a:srgbClr val="00B050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0696A-ABF7-4FEC-8B70-FC667E278939}">
  <sheetPr codeName="Sheet1"/>
  <dimension ref="A1:M1001"/>
  <sheetViews>
    <sheetView tabSelected="1" workbookViewId="0">
      <selection activeCell="L10" sqref="L10"/>
    </sheetView>
  </sheetViews>
  <sheetFormatPr defaultRowHeight="15"/>
  <cols>
    <col min="1" max="1" width="10.42578125" style="10" bestFit="1" customWidth="1"/>
    <col min="2" max="2" width="10.28515625" style="11" bestFit="1" customWidth="1"/>
    <col min="3" max="3" width="9" style="11" bestFit="1" customWidth="1"/>
    <col min="4" max="4" width="37.5703125" style="11" bestFit="1" customWidth="1"/>
    <col min="5" max="5" width="15.7109375" style="11" bestFit="1" customWidth="1"/>
    <col min="6" max="6" width="8" style="11" bestFit="1" customWidth="1"/>
    <col min="7" max="7" width="11.42578125" style="11" bestFit="1" customWidth="1"/>
    <col min="8" max="8" width="8.7109375" style="11" bestFit="1" customWidth="1"/>
    <col min="9" max="9" width="13.5703125" style="11" bestFit="1" customWidth="1"/>
    <col min="10" max="10" width="11.42578125" style="11" bestFit="1" customWidth="1"/>
    <col min="11" max="11" width="18.5703125" bestFit="1" customWidth="1"/>
    <col min="13" max="13" width="12" style="11" bestFit="1" customWidth="1"/>
    <col min="14" max="16384" width="9.140625" style="11"/>
  </cols>
  <sheetData>
    <row r="1" spans="1:13" s="9" customFormat="1">
      <c r="A1" s="8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20" t="s">
        <v>289</v>
      </c>
      <c r="K1" s="22" t="s">
        <v>304</v>
      </c>
    </row>
    <row r="2" spans="1:13">
      <c r="A2" s="10">
        <v>43776</v>
      </c>
      <c r="B2" s="11" t="s">
        <v>9</v>
      </c>
      <c r="C2" s="11">
        <v>1005136</v>
      </c>
      <c r="D2" s="11" t="s">
        <v>11</v>
      </c>
      <c r="E2" s="11" t="s">
        <v>22</v>
      </c>
      <c r="F2" s="11">
        <v>2011.63</v>
      </c>
      <c r="G2" s="11">
        <v>513990971</v>
      </c>
      <c r="H2" s="11">
        <v>4</v>
      </c>
      <c r="I2" s="11">
        <f>SalesData[[#This Row],[Price]]*SalesData[[#This Row],[Quantity]]</f>
        <v>8046.52</v>
      </c>
      <c r="J2" s="18" t="str">
        <f t="shared" ref="J2:J65" si="0">IF(F2&lt;500, "Low", IF(F2&lt;1500, "Medium", "High"))</f>
        <v>High</v>
      </c>
      <c r="K2" s="21" t="s">
        <v>290</v>
      </c>
    </row>
    <row r="3" spans="1:13">
      <c r="A3" s="10">
        <v>43775</v>
      </c>
      <c r="B3" s="11" t="s">
        <v>9</v>
      </c>
      <c r="C3" s="11">
        <v>1801700</v>
      </c>
      <c r="D3" s="11" t="s">
        <v>15</v>
      </c>
      <c r="E3" s="11" t="s">
        <v>26</v>
      </c>
      <c r="F3" s="11">
        <v>1860.69</v>
      </c>
      <c r="G3" s="11">
        <v>513070340</v>
      </c>
      <c r="H3" s="11">
        <v>5</v>
      </c>
      <c r="I3" s="11">
        <f>SalesData[[#This Row],[Price]]*SalesData[[#This Row],[Quantity]]</f>
        <v>9303.4500000000007</v>
      </c>
      <c r="J3" s="11" t="str">
        <f t="shared" si="0"/>
        <v>High</v>
      </c>
      <c r="K3" s="21" t="s">
        <v>290</v>
      </c>
      <c r="M3" s="21"/>
    </row>
    <row r="4" spans="1:13">
      <c r="A4" s="10">
        <v>43780</v>
      </c>
      <c r="B4" s="11" t="s">
        <v>9</v>
      </c>
      <c r="C4" s="11">
        <v>1005135</v>
      </c>
      <c r="D4" s="11" t="s">
        <v>11</v>
      </c>
      <c r="E4" s="11" t="s">
        <v>22</v>
      </c>
      <c r="F4" s="11">
        <v>1665.36</v>
      </c>
      <c r="G4" s="11">
        <v>530717866</v>
      </c>
      <c r="H4" s="11">
        <v>3</v>
      </c>
      <c r="I4" s="11">
        <f>SalesData[[#This Row],[Price]]*SalesData[[#This Row],[Quantity]]</f>
        <v>4996.08</v>
      </c>
      <c r="J4" s="11" t="str">
        <f t="shared" si="0"/>
        <v>High</v>
      </c>
      <c r="K4" s="21" t="s">
        <v>290</v>
      </c>
      <c r="M4" s="21"/>
    </row>
    <row r="5" spans="1:13">
      <c r="A5" s="10">
        <v>43772</v>
      </c>
      <c r="B5" s="11" t="s">
        <v>9</v>
      </c>
      <c r="C5" s="11">
        <v>1005135</v>
      </c>
      <c r="D5" s="11" t="s">
        <v>11</v>
      </c>
      <c r="E5" s="11" t="s">
        <v>22</v>
      </c>
      <c r="F5" s="11">
        <v>1665.36</v>
      </c>
      <c r="G5" s="11">
        <v>530717866</v>
      </c>
      <c r="H5" s="11">
        <v>1</v>
      </c>
      <c r="I5" s="11">
        <f>SalesData[[#This Row],[Price]]*SalesData[[#This Row],[Quantity]]</f>
        <v>1665.36</v>
      </c>
      <c r="J5" s="11" t="str">
        <f t="shared" si="0"/>
        <v>High</v>
      </c>
      <c r="K5" s="21" t="s">
        <v>290</v>
      </c>
      <c r="M5" s="21"/>
    </row>
    <row r="6" spans="1:13">
      <c r="A6" s="10">
        <v>43770</v>
      </c>
      <c r="B6" s="11" t="s">
        <v>9</v>
      </c>
      <c r="C6" s="11">
        <v>1005135</v>
      </c>
      <c r="D6" s="11" t="s">
        <v>11</v>
      </c>
      <c r="E6" s="11" t="s">
        <v>22</v>
      </c>
      <c r="F6" s="11">
        <v>1665.36</v>
      </c>
      <c r="G6" s="11">
        <v>542210844</v>
      </c>
      <c r="H6" s="11">
        <v>5</v>
      </c>
      <c r="I6" s="11">
        <f>SalesData[[#This Row],[Price]]*SalesData[[#This Row],[Quantity]]</f>
        <v>8326.7999999999993</v>
      </c>
      <c r="J6" s="11" t="str">
        <f t="shared" si="0"/>
        <v>High</v>
      </c>
      <c r="K6" s="21" t="s">
        <v>290</v>
      </c>
      <c r="M6" s="21"/>
    </row>
    <row r="7" spans="1:13">
      <c r="A7" s="10">
        <v>43773</v>
      </c>
      <c r="B7" s="11" t="s">
        <v>9</v>
      </c>
      <c r="C7" s="11">
        <v>1005135</v>
      </c>
      <c r="D7" s="11" t="s">
        <v>11</v>
      </c>
      <c r="E7" s="11" t="s">
        <v>22</v>
      </c>
      <c r="F7" s="11">
        <v>1665.36</v>
      </c>
      <c r="G7" s="11">
        <v>546129282</v>
      </c>
      <c r="H7" s="11">
        <v>1</v>
      </c>
      <c r="I7" s="11">
        <f>SalesData[[#This Row],[Price]]*SalesData[[#This Row],[Quantity]]</f>
        <v>1665.36</v>
      </c>
      <c r="J7" s="11" t="str">
        <f t="shared" si="0"/>
        <v>High</v>
      </c>
      <c r="K7" s="21" t="s">
        <v>290</v>
      </c>
      <c r="M7" s="21"/>
    </row>
    <row r="8" spans="1:13">
      <c r="A8" s="10">
        <v>43784</v>
      </c>
      <c r="B8" s="11" t="s">
        <v>9</v>
      </c>
      <c r="C8" s="11">
        <v>1005135</v>
      </c>
      <c r="D8" s="11" t="s">
        <v>11</v>
      </c>
      <c r="E8" s="11" t="s">
        <v>22</v>
      </c>
      <c r="F8" s="11">
        <v>1665.36</v>
      </c>
      <c r="G8" s="11">
        <v>513074641</v>
      </c>
      <c r="H8" s="11">
        <v>4</v>
      </c>
      <c r="I8" s="11">
        <f>SalesData[[#This Row],[Price]]*SalesData[[#This Row],[Quantity]]</f>
        <v>6661.44</v>
      </c>
      <c r="J8" s="11" t="str">
        <f t="shared" si="0"/>
        <v>High</v>
      </c>
      <c r="K8" s="21" t="s">
        <v>290</v>
      </c>
      <c r="M8" s="21"/>
    </row>
    <row r="9" spans="1:13">
      <c r="A9" s="10">
        <v>43779</v>
      </c>
      <c r="B9" s="11" t="s">
        <v>9</v>
      </c>
      <c r="C9" s="11">
        <v>1005124</v>
      </c>
      <c r="D9" s="11" t="s">
        <v>11</v>
      </c>
      <c r="E9" s="11" t="s">
        <v>22</v>
      </c>
      <c r="F9" s="11">
        <v>1583.48</v>
      </c>
      <c r="G9" s="11">
        <v>562210838</v>
      </c>
      <c r="H9" s="11">
        <v>5</v>
      </c>
      <c r="I9" s="11">
        <f>SalesData[[#This Row],[Price]]*SalesData[[#This Row],[Quantity]]</f>
        <v>7917.4</v>
      </c>
      <c r="J9" s="11" t="str">
        <f t="shared" si="0"/>
        <v>High</v>
      </c>
      <c r="K9" s="21" t="s">
        <v>290</v>
      </c>
      <c r="M9" s="21"/>
    </row>
    <row r="10" spans="1:13">
      <c r="A10" s="10">
        <v>43776</v>
      </c>
      <c r="B10" s="11" t="s">
        <v>9</v>
      </c>
      <c r="C10" s="11">
        <v>1005124</v>
      </c>
      <c r="D10" s="11" t="s">
        <v>11</v>
      </c>
      <c r="E10" s="11" t="s">
        <v>22</v>
      </c>
      <c r="F10" s="11">
        <v>1583.48</v>
      </c>
      <c r="G10" s="11">
        <v>513880835</v>
      </c>
      <c r="H10" s="11">
        <v>3</v>
      </c>
      <c r="I10" s="11">
        <f>SalesData[[#This Row],[Price]]*SalesData[[#This Row],[Quantity]]</f>
        <v>4750.4400000000005</v>
      </c>
      <c r="J10" s="11" t="str">
        <f t="shared" si="0"/>
        <v>High</v>
      </c>
      <c r="K10" s="21" t="s">
        <v>290</v>
      </c>
      <c r="M10" s="21"/>
    </row>
    <row r="11" spans="1:13">
      <c r="A11" s="10">
        <v>43784</v>
      </c>
      <c r="B11" s="11" t="s">
        <v>9</v>
      </c>
      <c r="C11" s="11">
        <v>1307466</v>
      </c>
      <c r="D11" s="11" t="s">
        <v>69</v>
      </c>
      <c r="E11" s="11" t="s">
        <v>130</v>
      </c>
      <c r="F11" s="11">
        <v>1549.07</v>
      </c>
      <c r="G11" s="11">
        <v>513455270</v>
      </c>
      <c r="H11" s="11">
        <v>5</v>
      </c>
      <c r="I11" s="11">
        <f>SalesData[[#This Row],[Price]]*SalesData[[#This Row],[Quantity]]</f>
        <v>7745.3499999999995</v>
      </c>
      <c r="J11" s="11" t="str">
        <f t="shared" si="0"/>
        <v>High</v>
      </c>
      <c r="K11" s="21" t="s">
        <v>291</v>
      </c>
      <c r="M11" s="21"/>
    </row>
    <row r="12" spans="1:13">
      <c r="A12" s="10">
        <v>43778</v>
      </c>
      <c r="B12" s="11" t="s">
        <v>9</v>
      </c>
      <c r="C12" s="11">
        <v>1005140</v>
      </c>
      <c r="D12" s="11" t="s">
        <v>11</v>
      </c>
      <c r="E12" s="11" t="s">
        <v>22</v>
      </c>
      <c r="F12" s="11">
        <v>1455.57</v>
      </c>
      <c r="G12" s="11">
        <v>541133409</v>
      </c>
      <c r="H12" s="11">
        <v>5</v>
      </c>
      <c r="I12" s="11">
        <f>SalesData[[#This Row],[Price]]*SalesData[[#This Row],[Quantity]]</f>
        <v>7277.8499999999995</v>
      </c>
      <c r="J12" s="11" t="str">
        <f t="shared" si="0"/>
        <v>Medium</v>
      </c>
      <c r="K12" s="21" t="s">
        <v>290</v>
      </c>
      <c r="M12" s="21"/>
    </row>
    <row r="13" spans="1:13">
      <c r="A13" s="10">
        <v>43773</v>
      </c>
      <c r="B13" s="11" t="s">
        <v>9</v>
      </c>
      <c r="C13" s="11">
        <v>9600042</v>
      </c>
      <c r="D13" s="11" t="s">
        <v>235</v>
      </c>
      <c r="E13" s="11" t="s">
        <v>104</v>
      </c>
      <c r="F13" s="11">
        <v>1527.68</v>
      </c>
      <c r="G13" s="11">
        <v>554847297</v>
      </c>
      <c r="H13" s="11">
        <v>2</v>
      </c>
      <c r="I13" s="11">
        <f>SalesData[[#This Row],[Price]]*SalesData[[#This Row],[Quantity]]</f>
        <v>3055.36</v>
      </c>
      <c r="J13" s="11" t="str">
        <f t="shared" si="0"/>
        <v>High</v>
      </c>
      <c r="K13" s="21" t="s">
        <v>235</v>
      </c>
      <c r="M13" s="21"/>
    </row>
    <row r="14" spans="1:13">
      <c r="A14" s="10">
        <v>43772</v>
      </c>
      <c r="B14" s="11" t="s">
        <v>9</v>
      </c>
      <c r="C14" s="11">
        <v>1005140</v>
      </c>
      <c r="D14" s="11" t="s">
        <v>11</v>
      </c>
      <c r="E14" s="11" t="s">
        <v>22</v>
      </c>
      <c r="F14" s="11">
        <v>1455.57</v>
      </c>
      <c r="G14" s="11">
        <v>541133409</v>
      </c>
      <c r="H14" s="11">
        <v>4</v>
      </c>
      <c r="I14" s="11">
        <f>SalesData[[#This Row],[Price]]*SalesData[[#This Row],[Quantity]]</f>
        <v>5822.28</v>
      </c>
      <c r="J14" s="11" t="str">
        <f t="shared" si="0"/>
        <v>Medium</v>
      </c>
      <c r="K14" s="21" t="s">
        <v>290</v>
      </c>
    </row>
    <row r="15" spans="1:13">
      <c r="A15" s="10">
        <v>43782</v>
      </c>
      <c r="B15" s="11" t="s">
        <v>9</v>
      </c>
      <c r="C15" s="11">
        <v>1005105</v>
      </c>
      <c r="D15" s="11" t="s">
        <v>11</v>
      </c>
      <c r="E15" s="11" t="s">
        <v>22</v>
      </c>
      <c r="F15" s="11">
        <v>1348.61</v>
      </c>
      <c r="G15" s="11">
        <v>518840496</v>
      </c>
      <c r="H15" s="11">
        <v>1</v>
      </c>
      <c r="I15" s="11">
        <f>SalesData[[#This Row],[Price]]*SalesData[[#This Row],[Quantity]]</f>
        <v>1348.61</v>
      </c>
      <c r="J15" s="11" t="str">
        <f t="shared" si="0"/>
        <v>Medium</v>
      </c>
      <c r="K15" s="21" t="s">
        <v>290</v>
      </c>
    </row>
    <row r="16" spans="1:13">
      <c r="A16" s="10">
        <v>43779</v>
      </c>
      <c r="B16" s="11" t="s">
        <v>9</v>
      </c>
      <c r="C16" s="11">
        <v>1005105</v>
      </c>
      <c r="D16" s="11" t="s">
        <v>11</v>
      </c>
      <c r="E16" s="11" t="s">
        <v>22</v>
      </c>
      <c r="F16" s="11">
        <v>1348.61</v>
      </c>
      <c r="G16" s="11">
        <v>566285050</v>
      </c>
      <c r="H16" s="11">
        <v>1</v>
      </c>
      <c r="I16" s="11">
        <f>SalesData[[#This Row],[Price]]*SalesData[[#This Row],[Quantity]]</f>
        <v>1348.61</v>
      </c>
      <c r="J16" s="11" t="str">
        <f t="shared" si="0"/>
        <v>Medium</v>
      </c>
      <c r="K16" s="21" t="s">
        <v>290</v>
      </c>
    </row>
    <row r="17" spans="1:11">
      <c r="A17" s="10">
        <v>43772</v>
      </c>
      <c r="B17" s="11" t="s">
        <v>9</v>
      </c>
      <c r="C17" s="11">
        <v>1005105</v>
      </c>
      <c r="D17" s="11" t="s">
        <v>11</v>
      </c>
      <c r="E17" s="11" t="s">
        <v>22</v>
      </c>
      <c r="F17" s="11">
        <v>1348.61</v>
      </c>
      <c r="G17" s="11">
        <v>536267449</v>
      </c>
      <c r="H17" s="11">
        <v>5</v>
      </c>
      <c r="I17" s="11">
        <f>SalesData[[#This Row],[Price]]*SalesData[[#This Row],[Quantity]]</f>
        <v>6743.0499999999993</v>
      </c>
      <c r="J17" s="11" t="str">
        <f t="shared" si="0"/>
        <v>Medium</v>
      </c>
      <c r="K17" s="21" t="s">
        <v>290</v>
      </c>
    </row>
    <row r="18" spans="1:11">
      <c r="A18" s="10">
        <v>43771</v>
      </c>
      <c r="B18" s="11" t="s">
        <v>9</v>
      </c>
      <c r="C18" s="11">
        <v>1005105</v>
      </c>
      <c r="D18" s="11" t="s">
        <v>11</v>
      </c>
      <c r="E18" s="11" t="s">
        <v>22</v>
      </c>
      <c r="F18" s="11">
        <v>1348.61</v>
      </c>
      <c r="G18" s="11">
        <v>515750054</v>
      </c>
      <c r="H18" s="11">
        <v>2</v>
      </c>
      <c r="I18" s="11">
        <f>SalesData[[#This Row],[Price]]*SalesData[[#This Row],[Quantity]]</f>
        <v>2697.22</v>
      </c>
      <c r="J18" s="11" t="str">
        <f t="shared" si="0"/>
        <v>Medium</v>
      </c>
      <c r="K18" s="21" t="s">
        <v>290</v>
      </c>
    </row>
    <row r="19" spans="1:11">
      <c r="A19" s="10">
        <v>43781</v>
      </c>
      <c r="B19" s="11" t="s">
        <v>9</v>
      </c>
      <c r="C19" s="11">
        <v>1005105</v>
      </c>
      <c r="D19" s="11" t="s">
        <v>11</v>
      </c>
      <c r="E19" s="11" t="s">
        <v>22</v>
      </c>
      <c r="F19" s="11">
        <v>1348.61</v>
      </c>
      <c r="G19" s="11">
        <v>518166789</v>
      </c>
      <c r="H19" s="11">
        <v>4</v>
      </c>
      <c r="I19" s="11">
        <f>SalesData[[#This Row],[Price]]*SalesData[[#This Row],[Quantity]]</f>
        <v>5394.44</v>
      </c>
      <c r="J19" s="11" t="str">
        <f t="shared" si="0"/>
        <v>Medium</v>
      </c>
      <c r="K19" s="21" t="s">
        <v>290</v>
      </c>
    </row>
    <row r="20" spans="1:11">
      <c r="A20" s="10">
        <v>43782</v>
      </c>
      <c r="B20" s="11" t="s">
        <v>9</v>
      </c>
      <c r="C20" s="11">
        <v>1005105</v>
      </c>
      <c r="D20" s="11" t="s">
        <v>11</v>
      </c>
      <c r="E20" s="11" t="s">
        <v>22</v>
      </c>
      <c r="F20" s="11">
        <v>1348.61</v>
      </c>
      <c r="G20" s="11">
        <v>547557724</v>
      </c>
      <c r="H20" s="11">
        <v>5</v>
      </c>
      <c r="I20" s="11">
        <f>SalesData[[#This Row],[Price]]*SalesData[[#This Row],[Quantity]]</f>
        <v>6743.0499999999993</v>
      </c>
      <c r="J20" s="11" t="str">
        <f t="shared" si="0"/>
        <v>Medium</v>
      </c>
      <c r="K20" s="21" t="s">
        <v>290</v>
      </c>
    </row>
    <row r="21" spans="1:11">
      <c r="A21" s="10">
        <v>43779</v>
      </c>
      <c r="B21" s="11" t="s">
        <v>9</v>
      </c>
      <c r="C21" s="11">
        <v>1005105</v>
      </c>
      <c r="D21" s="11" t="s">
        <v>11</v>
      </c>
      <c r="E21" s="11" t="s">
        <v>22</v>
      </c>
      <c r="F21" s="11">
        <v>1348.61</v>
      </c>
      <c r="G21" s="11">
        <v>529536413</v>
      </c>
      <c r="H21" s="11">
        <v>2</v>
      </c>
      <c r="I21" s="11">
        <f>SalesData[[#This Row],[Price]]*SalesData[[#This Row],[Quantity]]</f>
        <v>2697.22</v>
      </c>
      <c r="J21" s="11" t="str">
        <f t="shared" si="0"/>
        <v>Medium</v>
      </c>
      <c r="K21" s="21" t="s">
        <v>290</v>
      </c>
    </row>
    <row r="22" spans="1:11">
      <c r="A22" s="10">
        <v>43772</v>
      </c>
      <c r="B22" s="11" t="s">
        <v>9</v>
      </c>
      <c r="C22" s="11">
        <v>1005105</v>
      </c>
      <c r="D22" s="11" t="s">
        <v>11</v>
      </c>
      <c r="E22" s="11" t="s">
        <v>22</v>
      </c>
      <c r="F22" s="11">
        <v>1348.61</v>
      </c>
      <c r="G22" s="11">
        <v>566293095</v>
      </c>
      <c r="H22" s="11">
        <v>4</v>
      </c>
      <c r="I22" s="11">
        <f>SalesData[[#This Row],[Price]]*SalesData[[#This Row],[Quantity]]</f>
        <v>5394.44</v>
      </c>
      <c r="J22" s="11" t="str">
        <f t="shared" si="0"/>
        <v>Medium</v>
      </c>
      <c r="K22" s="21" t="s">
        <v>290</v>
      </c>
    </row>
    <row r="23" spans="1:11">
      <c r="A23" s="10">
        <v>43783</v>
      </c>
      <c r="B23" s="11" t="s">
        <v>9</v>
      </c>
      <c r="C23" s="11">
        <v>1005105</v>
      </c>
      <c r="D23" s="11" t="s">
        <v>11</v>
      </c>
      <c r="E23" s="11" t="s">
        <v>22</v>
      </c>
      <c r="F23" s="11">
        <v>1348.61</v>
      </c>
      <c r="G23" s="11">
        <v>515534826</v>
      </c>
      <c r="H23" s="11">
        <v>5</v>
      </c>
      <c r="I23" s="11">
        <f>SalesData[[#This Row],[Price]]*SalesData[[#This Row],[Quantity]]</f>
        <v>6743.0499999999993</v>
      </c>
      <c r="J23" s="11" t="str">
        <f t="shared" si="0"/>
        <v>Medium</v>
      </c>
      <c r="K23" s="21" t="s">
        <v>290</v>
      </c>
    </row>
    <row r="24" spans="1:11">
      <c r="A24" s="10">
        <v>43775</v>
      </c>
      <c r="B24" s="11" t="s">
        <v>9</v>
      </c>
      <c r="C24" s="11">
        <v>1005105</v>
      </c>
      <c r="D24" s="11" t="s">
        <v>11</v>
      </c>
      <c r="E24" s="11" t="s">
        <v>22</v>
      </c>
      <c r="F24" s="11">
        <v>1348.61</v>
      </c>
      <c r="G24" s="11">
        <v>540541755</v>
      </c>
      <c r="H24" s="11">
        <v>5</v>
      </c>
      <c r="I24" s="11">
        <f>SalesData[[#This Row],[Price]]*SalesData[[#This Row],[Quantity]]</f>
        <v>6743.0499999999993</v>
      </c>
      <c r="J24" s="11" t="str">
        <f t="shared" si="0"/>
        <v>Medium</v>
      </c>
      <c r="K24" s="21" t="s">
        <v>290</v>
      </c>
    </row>
    <row r="25" spans="1:11">
      <c r="A25" s="10">
        <v>43771</v>
      </c>
      <c r="B25" s="11" t="s">
        <v>9</v>
      </c>
      <c r="C25" s="11">
        <v>1005105</v>
      </c>
      <c r="D25" s="11" t="s">
        <v>11</v>
      </c>
      <c r="E25" s="11" t="s">
        <v>22</v>
      </c>
      <c r="F25" s="11">
        <v>1348.61</v>
      </c>
      <c r="G25" s="11">
        <v>544988848</v>
      </c>
      <c r="H25" s="11">
        <v>4</v>
      </c>
      <c r="I25" s="11">
        <f>SalesData[[#This Row],[Price]]*SalesData[[#This Row],[Quantity]]</f>
        <v>5394.44</v>
      </c>
      <c r="J25" s="11" t="str">
        <f t="shared" si="0"/>
        <v>Medium</v>
      </c>
      <c r="K25" s="21" t="s">
        <v>290</v>
      </c>
    </row>
    <row r="26" spans="1:11">
      <c r="A26" s="10">
        <v>43774</v>
      </c>
      <c r="B26" s="11" t="s">
        <v>9</v>
      </c>
      <c r="C26" s="11">
        <v>1005105</v>
      </c>
      <c r="D26" s="11" t="s">
        <v>11</v>
      </c>
      <c r="E26" s="11" t="s">
        <v>22</v>
      </c>
      <c r="F26" s="11">
        <v>1348.61</v>
      </c>
      <c r="G26" s="11">
        <v>564994036</v>
      </c>
      <c r="H26" s="11">
        <v>4</v>
      </c>
      <c r="I26" s="11">
        <f>SalesData[[#This Row],[Price]]*SalesData[[#This Row],[Quantity]]</f>
        <v>5394.44</v>
      </c>
      <c r="J26" s="11" t="str">
        <f t="shared" si="0"/>
        <v>Medium</v>
      </c>
      <c r="K26" s="21" t="s">
        <v>290</v>
      </c>
    </row>
    <row r="27" spans="1:11">
      <c r="A27" s="10">
        <v>43779</v>
      </c>
      <c r="B27" s="11" t="s">
        <v>9</v>
      </c>
      <c r="C27" s="11">
        <v>1005129</v>
      </c>
      <c r="D27" s="11" t="s">
        <v>11</v>
      </c>
      <c r="E27" s="11" t="s">
        <v>22</v>
      </c>
      <c r="F27" s="11">
        <v>1337.23</v>
      </c>
      <c r="G27" s="11">
        <v>518267348</v>
      </c>
      <c r="H27" s="11">
        <v>4</v>
      </c>
      <c r="I27" s="11">
        <f>SalesData[[#This Row],[Price]]*SalesData[[#This Row],[Quantity]]</f>
        <v>5348.92</v>
      </c>
      <c r="J27" s="11" t="str">
        <f t="shared" si="0"/>
        <v>Medium</v>
      </c>
      <c r="K27" s="21" t="s">
        <v>290</v>
      </c>
    </row>
    <row r="28" spans="1:11">
      <c r="A28" s="10">
        <v>43782</v>
      </c>
      <c r="B28" s="11" t="s">
        <v>9</v>
      </c>
      <c r="C28" s="11">
        <v>1005129</v>
      </c>
      <c r="D28" s="11" t="s">
        <v>11</v>
      </c>
      <c r="E28" s="11" t="s">
        <v>22</v>
      </c>
      <c r="F28" s="11">
        <v>1337.23</v>
      </c>
      <c r="G28" s="11">
        <v>551066396</v>
      </c>
      <c r="H28" s="11">
        <v>5</v>
      </c>
      <c r="I28" s="11">
        <f>SalesData[[#This Row],[Price]]*SalesData[[#This Row],[Quantity]]</f>
        <v>6686.15</v>
      </c>
      <c r="J28" s="11" t="str">
        <f t="shared" si="0"/>
        <v>Medium</v>
      </c>
      <c r="K28" s="21" t="s">
        <v>290</v>
      </c>
    </row>
    <row r="29" spans="1:11">
      <c r="A29" s="10">
        <v>43782</v>
      </c>
      <c r="B29" s="11" t="s">
        <v>9</v>
      </c>
      <c r="C29" s="11">
        <v>1005117</v>
      </c>
      <c r="D29" s="11" t="s">
        <v>11</v>
      </c>
      <c r="E29" s="11" t="s">
        <v>22</v>
      </c>
      <c r="F29" s="11">
        <v>1182.3699999999999</v>
      </c>
      <c r="G29" s="11">
        <v>513117637</v>
      </c>
      <c r="H29" s="11">
        <v>4</v>
      </c>
      <c r="I29" s="11">
        <f>SalesData[[#This Row],[Price]]*SalesData[[#This Row],[Quantity]]</f>
        <v>4729.4799999999996</v>
      </c>
      <c r="J29" s="11" t="str">
        <f t="shared" si="0"/>
        <v>Medium</v>
      </c>
      <c r="K29" s="21" t="s">
        <v>290</v>
      </c>
    </row>
    <row r="30" spans="1:11">
      <c r="A30" s="10">
        <v>43770</v>
      </c>
      <c r="B30" s="11" t="s">
        <v>9</v>
      </c>
      <c r="C30" s="11">
        <v>9600117</v>
      </c>
      <c r="D30" s="11" t="s">
        <v>235</v>
      </c>
      <c r="E30" s="11" t="s">
        <v>104</v>
      </c>
      <c r="F30" s="11">
        <v>1281.96</v>
      </c>
      <c r="G30" s="11">
        <v>554847297</v>
      </c>
      <c r="H30" s="11">
        <v>2</v>
      </c>
      <c r="I30" s="11">
        <f>SalesData[[#This Row],[Price]]*SalesData[[#This Row],[Quantity]]</f>
        <v>2563.92</v>
      </c>
      <c r="J30" s="11" t="str">
        <f t="shared" si="0"/>
        <v>Medium</v>
      </c>
      <c r="K30" s="21" t="s">
        <v>235</v>
      </c>
    </row>
    <row r="31" spans="1:11">
      <c r="A31" s="10">
        <v>43776</v>
      </c>
      <c r="B31" s="11" t="s">
        <v>9</v>
      </c>
      <c r="C31" s="11">
        <v>1201405</v>
      </c>
      <c r="D31" s="11" t="s">
        <v>124</v>
      </c>
      <c r="E31" s="11" t="s">
        <v>22</v>
      </c>
      <c r="F31" s="11">
        <v>1106.5899999999999</v>
      </c>
      <c r="G31" s="11">
        <v>527067703</v>
      </c>
      <c r="H31" s="11">
        <v>5</v>
      </c>
      <c r="I31" s="11">
        <f>SalesData[[#This Row],[Price]]*SalesData[[#This Row],[Quantity]]</f>
        <v>5532.95</v>
      </c>
      <c r="J31" s="11" t="str">
        <f t="shared" si="0"/>
        <v>Medium</v>
      </c>
      <c r="K31" s="21" t="s">
        <v>290</v>
      </c>
    </row>
    <row r="32" spans="1:11">
      <c r="A32" s="10">
        <v>43776</v>
      </c>
      <c r="B32" s="11" t="s">
        <v>9</v>
      </c>
      <c r="C32" s="11">
        <v>2702542</v>
      </c>
      <c r="D32" s="11" t="s">
        <v>100</v>
      </c>
      <c r="E32" s="11" t="s">
        <v>235</v>
      </c>
      <c r="F32" s="11">
        <v>1147.26</v>
      </c>
      <c r="G32" s="11">
        <v>565645275</v>
      </c>
      <c r="H32" s="11">
        <v>2</v>
      </c>
      <c r="I32" s="11">
        <f>SalesData[[#This Row],[Price]]*SalesData[[#This Row],[Quantity]]</f>
        <v>2294.52</v>
      </c>
      <c r="J32" s="11" t="str">
        <f t="shared" si="0"/>
        <v>Medium</v>
      </c>
      <c r="K32" s="21" t="s">
        <v>292</v>
      </c>
    </row>
    <row r="33" spans="1:11">
      <c r="A33" s="10">
        <v>43782</v>
      </c>
      <c r="B33" s="11" t="s">
        <v>9</v>
      </c>
      <c r="C33" s="11">
        <v>1005122</v>
      </c>
      <c r="D33" s="11" t="s">
        <v>11</v>
      </c>
      <c r="E33" s="11" t="s">
        <v>22</v>
      </c>
      <c r="F33" s="11">
        <v>1027.5899999999999</v>
      </c>
      <c r="G33" s="11">
        <v>537741482</v>
      </c>
      <c r="H33" s="11">
        <v>2</v>
      </c>
      <c r="I33" s="11">
        <f>SalesData[[#This Row],[Price]]*SalesData[[#This Row],[Quantity]]</f>
        <v>2055.1799999999998</v>
      </c>
      <c r="J33" s="11" t="str">
        <f t="shared" si="0"/>
        <v>Medium</v>
      </c>
      <c r="K33" s="21" t="s">
        <v>290</v>
      </c>
    </row>
    <row r="34" spans="1:11">
      <c r="A34" s="10">
        <v>43776</v>
      </c>
      <c r="B34" s="11" t="s">
        <v>9</v>
      </c>
      <c r="C34" s="11">
        <v>1005107</v>
      </c>
      <c r="D34" s="11" t="s">
        <v>11</v>
      </c>
      <c r="E34" s="11" t="s">
        <v>22</v>
      </c>
      <c r="F34" s="11">
        <v>1027.44</v>
      </c>
      <c r="G34" s="11">
        <v>530588589</v>
      </c>
      <c r="H34" s="11">
        <v>4</v>
      </c>
      <c r="I34" s="11">
        <f>SalesData[[#This Row],[Price]]*SalesData[[#This Row],[Quantity]]</f>
        <v>4109.76</v>
      </c>
      <c r="J34" s="11" t="str">
        <f t="shared" si="0"/>
        <v>Medium</v>
      </c>
      <c r="K34" s="21" t="s">
        <v>290</v>
      </c>
    </row>
    <row r="35" spans="1:11">
      <c r="A35" s="10">
        <v>43780</v>
      </c>
      <c r="B35" s="11" t="s">
        <v>9</v>
      </c>
      <c r="C35" s="11">
        <v>1005116</v>
      </c>
      <c r="D35" s="11" t="s">
        <v>11</v>
      </c>
      <c r="E35" s="11" t="s">
        <v>22</v>
      </c>
      <c r="F35" s="11">
        <v>1013.86</v>
      </c>
      <c r="G35" s="11">
        <v>516316320</v>
      </c>
      <c r="H35" s="11">
        <v>4</v>
      </c>
      <c r="I35" s="11">
        <f>SalesData[[#This Row],[Price]]*SalesData[[#This Row],[Quantity]]</f>
        <v>4055.44</v>
      </c>
      <c r="J35" s="11" t="str">
        <f t="shared" si="0"/>
        <v>Medium</v>
      </c>
      <c r="K35" s="21" t="s">
        <v>290</v>
      </c>
    </row>
    <row r="36" spans="1:11">
      <c r="A36" s="10">
        <v>43782</v>
      </c>
      <c r="B36" s="11" t="s">
        <v>9</v>
      </c>
      <c r="C36" s="11">
        <v>1005116</v>
      </c>
      <c r="D36" s="11" t="s">
        <v>11</v>
      </c>
      <c r="E36" s="11" t="s">
        <v>22</v>
      </c>
      <c r="F36" s="11">
        <v>1013.86</v>
      </c>
      <c r="G36" s="11">
        <v>537741482</v>
      </c>
      <c r="H36" s="11">
        <v>3</v>
      </c>
      <c r="I36" s="11">
        <f>SalesData[[#This Row],[Price]]*SalesData[[#This Row],[Quantity]]</f>
        <v>3041.58</v>
      </c>
      <c r="J36" s="11" t="str">
        <f t="shared" si="0"/>
        <v>Medium</v>
      </c>
      <c r="K36" s="21" t="s">
        <v>290</v>
      </c>
    </row>
    <row r="37" spans="1:11">
      <c r="A37" s="10">
        <v>43777</v>
      </c>
      <c r="B37" s="11" t="s">
        <v>9</v>
      </c>
      <c r="C37" s="11">
        <v>1005116</v>
      </c>
      <c r="D37" s="11" t="s">
        <v>11</v>
      </c>
      <c r="E37" s="11" t="s">
        <v>22</v>
      </c>
      <c r="F37" s="11">
        <v>1013.86</v>
      </c>
      <c r="G37" s="11">
        <v>549043010</v>
      </c>
      <c r="H37" s="11">
        <v>4</v>
      </c>
      <c r="I37" s="11">
        <f>SalesData[[#This Row],[Price]]*SalesData[[#This Row],[Quantity]]</f>
        <v>4055.44</v>
      </c>
      <c r="J37" s="11" t="str">
        <f t="shared" si="0"/>
        <v>Medium</v>
      </c>
      <c r="K37" s="21" t="s">
        <v>290</v>
      </c>
    </row>
    <row r="38" spans="1:11">
      <c r="A38" s="10">
        <v>43773</v>
      </c>
      <c r="B38" s="11" t="s">
        <v>9</v>
      </c>
      <c r="C38" s="11">
        <v>1005116</v>
      </c>
      <c r="D38" s="11" t="s">
        <v>11</v>
      </c>
      <c r="E38" s="11" t="s">
        <v>22</v>
      </c>
      <c r="F38" s="11">
        <v>1013.86</v>
      </c>
      <c r="G38" s="11">
        <v>512576824</v>
      </c>
      <c r="H38" s="11">
        <v>4</v>
      </c>
      <c r="I38" s="11">
        <f>SalesData[[#This Row],[Price]]*SalesData[[#This Row],[Quantity]]</f>
        <v>4055.44</v>
      </c>
      <c r="J38" s="11" t="str">
        <f t="shared" si="0"/>
        <v>Medium</v>
      </c>
      <c r="K38" s="21" t="s">
        <v>290</v>
      </c>
    </row>
    <row r="39" spans="1:11">
      <c r="A39" s="10">
        <v>43775</v>
      </c>
      <c r="B39" s="11" t="s">
        <v>9</v>
      </c>
      <c r="C39" s="11">
        <v>1005116</v>
      </c>
      <c r="D39" s="11" t="s">
        <v>11</v>
      </c>
      <c r="E39" s="11" t="s">
        <v>22</v>
      </c>
      <c r="F39" s="11">
        <v>1013.86</v>
      </c>
      <c r="G39" s="11">
        <v>566302451</v>
      </c>
      <c r="H39" s="11">
        <v>3</v>
      </c>
      <c r="I39" s="11">
        <f>SalesData[[#This Row],[Price]]*SalesData[[#This Row],[Quantity]]</f>
        <v>3041.58</v>
      </c>
      <c r="J39" s="11" t="str">
        <f t="shared" si="0"/>
        <v>Medium</v>
      </c>
      <c r="K39" s="21" t="s">
        <v>290</v>
      </c>
    </row>
    <row r="40" spans="1:11">
      <c r="A40" s="10">
        <v>43781</v>
      </c>
      <c r="B40" s="11" t="s">
        <v>9</v>
      </c>
      <c r="C40" s="11">
        <v>1005112</v>
      </c>
      <c r="D40" s="11" t="s">
        <v>11</v>
      </c>
      <c r="E40" s="11" t="s">
        <v>22</v>
      </c>
      <c r="F40" s="11">
        <v>1003.63</v>
      </c>
      <c r="G40" s="11">
        <v>551678170</v>
      </c>
      <c r="H40" s="11">
        <v>3</v>
      </c>
      <c r="I40" s="11">
        <f>SalesData[[#This Row],[Price]]*SalesData[[#This Row],[Quantity]]</f>
        <v>3010.89</v>
      </c>
      <c r="J40" s="11" t="str">
        <f t="shared" si="0"/>
        <v>Medium</v>
      </c>
      <c r="K40" s="21" t="s">
        <v>290</v>
      </c>
    </row>
    <row r="41" spans="1:11">
      <c r="A41" s="10">
        <v>43776</v>
      </c>
      <c r="B41" s="11" t="s">
        <v>9</v>
      </c>
      <c r="C41" s="11">
        <v>1005104</v>
      </c>
      <c r="D41" s="11" t="s">
        <v>11</v>
      </c>
      <c r="E41" s="11" t="s">
        <v>22</v>
      </c>
      <c r="F41" s="11">
        <v>977.3</v>
      </c>
      <c r="G41" s="11">
        <v>564195480</v>
      </c>
      <c r="H41" s="11">
        <v>4</v>
      </c>
      <c r="I41" s="11">
        <f>SalesData[[#This Row],[Price]]*SalesData[[#This Row],[Quantity]]</f>
        <v>3909.2</v>
      </c>
      <c r="J41" s="11" t="str">
        <f t="shared" si="0"/>
        <v>Medium</v>
      </c>
      <c r="K41" s="21" t="s">
        <v>290</v>
      </c>
    </row>
    <row r="42" spans="1:11">
      <c r="A42" s="10">
        <v>43781</v>
      </c>
      <c r="B42" s="11" t="s">
        <v>9</v>
      </c>
      <c r="C42" s="11">
        <v>1005104</v>
      </c>
      <c r="D42" s="11" t="s">
        <v>11</v>
      </c>
      <c r="E42" s="11" t="s">
        <v>22</v>
      </c>
      <c r="F42" s="11">
        <v>977.3</v>
      </c>
      <c r="G42" s="11">
        <v>564195480</v>
      </c>
      <c r="H42" s="11">
        <v>5</v>
      </c>
      <c r="I42" s="11">
        <f>SalesData[[#This Row],[Price]]*SalesData[[#This Row],[Quantity]]</f>
        <v>4886.5</v>
      </c>
      <c r="J42" s="11" t="str">
        <f t="shared" si="0"/>
        <v>Medium</v>
      </c>
      <c r="K42" s="21" t="s">
        <v>290</v>
      </c>
    </row>
    <row r="43" spans="1:11">
      <c r="A43" s="10">
        <v>43772</v>
      </c>
      <c r="B43" s="11" t="s">
        <v>9</v>
      </c>
      <c r="C43" s="11">
        <v>1005104</v>
      </c>
      <c r="D43" s="11" t="s">
        <v>11</v>
      </c>
      <c r="E43" s="11" t="s">
        <v>22</v>
      </c>
      <c r="F43" s="11">
        <v>977.3</v>
      </c>
      <c r="G43" s="11">
        <v>529852051</v>
      </c>
      <c r="H43" s="11">
        <v>3</v>
      </c>
      <c r="I43" s="11">
        <f>SalesData[[#This Row],[Price]]*SalesData[[#This Row],[Quantity]]</f>
        <v>2931.8999999999996</v>
      </c>
      <c r="J43" s="11" t="str">
        <f t="shared" si="0"/>
        <v>Medium</v>
      </c>
      <c r="K43" s="21" t="s">
        <v>290</v>
      </c>
    </row>
    <row r="44" spans="1:11">
      <c r="A44" s="10">
        <v>43783</v>
      </c>
      <c r="B44" s="11" t="s">
        <v>9</v>
      </c>
      <c r="C44" s="11">
        <v>1307307</v>
      </c>
      <c r="D44" s="11" t="s">
        <v>69</v>
      </c>
      <c r="E44" s="11" t="s">
        <v>31</v>
      </c>
      <c r="F44" s="11">
        <v>980.46</v>
      </c>
      <c r="G44" s="11">
        <v>529786619</v>
      </c>
      <c r="H44" s="11">
        <v>4</v>
      </c>
      <c r="I44" s="11">
        <f>SalesData[[#This Row],[Price]]*SalesData[[#This Row],[Quantity]]</f>
        <v>3921.84</v>
      </c>
      <c r="J44" s="11" t="str">
        <f t="shared" si="0"/>
        <v>Medium</v>
      </c>
      <c r="K44" s="21" t="s">
        <v>291</v>
      </c>
    </row>
    <row r="45" spans="1:11">
      <c r="A45" s="10">
        <v>43777</v>
      </c>
      <c r="B45" s="11" t="s">
        <v>9</v>
      </c>
      <c r="C45" s="11">
        <v>1480207</v>
      </c>
      <c r="D45" s="11" t="s">
        <v>24</v>
      </c>
      <c r="E45" s="11" t="s">
        <v>123</v>
      </c>
      <c r="F45" s="11">
        <v>977.89</v>
      </c>
      <c r="G45" s="11">
        <v>558698483</v>
      </c>
      <c r="H45" s="11">
        <v>1</v>
      </c>
      <c r="I45" s="11">
        <f>SalesData[[#This Row],[Price]]*SalesData[[#This Row],[Quantity]]</f>
        <v>977.89</v>
      </c>
      <c r="J45" s="11" t="str">
        <f t="shared" si="0"/>
        <v>Medium</v>
      </c>
      <c r="K45" s="21" t="s">
        <v>291</v>
      </c>
    </row>
    <row r="46" spans="1:11">
      <c r="A46" s="10">
        <v>43782</v>
      </c>
      <c r="B46" s="11" t="s">
        <v>9</v>
      </c>
      <c r="C46" s="11">
        <v>1005118</v>
      </c>
      <c r="D46" s="11" t="s">
        <v>11</v>
      </c>
      <c r="E46" s="11" t="s">
        <v>22</v>
      </c>
      <c r="F46" s="11">
        <v>976.82</v>
      </c>
      <c r="G46" s="11">
        <v>564195480</v>
      </c>
      <c r="H46" s="11">
        <v>5</v>
      </c>
      <c r="I46" s="11">
        <f>SalesData[[#This Row],[Price]]*SalesData[[#This Row],[Quantity]]</f>
        <v>4884.1000000000004</v>
      </c>
      <c r="J46" s="11" t="str">
        <f t="shared" si="0"/>
        <v>Medium</v>
      </c>
      <c r="K46" s="21" t="s">
        <v>290</v>
      </c>
    </row>
    <row r="47" spans="1:11">
      <c r="A47" s="10">
        <v>43774</v>
      </c>
      <c r="B47" s="11" t="s">
        <v>9</v>
      </c>
      <c r="C47" s="11">
        <v>1005121</v>
      </c>
      <c r="D47" s="11" t="s">
        <v>11</v>
      </c>
      <c r="E47" s="11" t="s">
        <v>22</v>
      </c>
      <c r="F47" s="11">
        <v>973.41</v>
      </c>
      <c r="G47" s="11">
        <v>550527531</v>
      </c>
      <c r="H47" s="11">
        <v>1</v>
      </c>
      <c r="I47" s="11">
        <f>SalesData[[#This Row],[Price]]*SalesData[[#This Row],[Quantity]]</f>
        <v>973.41</v>
      </c>
      <c r="J47" s="11" t="str">
        <f t="shared" si="0"/>
        <v>Medium</v>
      </c>
      <c r="K47" s="21" t="s">
        <v>290</v>
      </c>
    </row>
    <row r="48" spans="1:11">
      <c r="A48" s="10">
        <v>43781</v>
      </c>
      <c r="B48" s="11" t="s">
        <v>9</v>
      </c>
      <c r="C48" s="11">
        <v>1005121</v>
      </c>
      <c r="D48" s="11" t="s">
        <v>11</v>
      </c>
      <c r="E48" s="11" t="s">
        <v>22</v>
      </c>
      <c r="F48" s="11">
        <v>973.41</v>
      </c>
      <c r="G48" s="11">
        <v>560902341</v>
      </c>
      <c r="H48" s="11">
        <v>1</v>
      </c>
      <c r="I48" s="11">
        <f>SalesData[[#This Row],[Price]]*SalesData[[#This Row],[Quantity]]</f>
        <v>973.41</v>
      </c>
      <c r="J48" s="11" t="str">
        <f t="shared" si="0"/>
        <v>Medium</v>
      </c>
      <c r="K48" s="21" t="s">
        <v>290</v>
      </c>
    </row>
    <row r="49" spans="1:11">
      <c r="A49" s="10">
        <v>43775</v>
      </c>
      <c r="B49" s="11" t="s">
        <v>9</v>
      </c>
      <c r="C49" s="11">
        <v>1005115</v>
      </c>
      <c r="D49" s="11" t="s">
        <v>11</v>
      </c>
      <c r="E49" s="11" t="s">
        <v>22</v>
      </c>
      <c r="F49" s="11">
        <v>949.47</v>
      </c>
      <c r="G49" s="11">
        <v>515851023</v>
      </c>
      <c r="H49" s="11">
        <v>5</v>
      </c>
      <c r="I49" s="11">
        <f>SalesData[[#This Row],[Price]]*SalesData[[#This Row],[Quantity]]</f>
        <v>4747.3500000000004</v>
      </c>
      <c r="J49" s="11" t="str">
        <f t="shared" si="0"/>
        <v>Medium</v>
      </c>
      <c r="K49" s="21" t="s">
        <v>290</v>
      </c>
    </row>
    <row r="50" spans="1:11">
      <c r="A50" s="10">
        <v>43772</v>
      </c>
      <c r="B50" s="11" t="s">
        <v>9</v>
      </c>
      <c r="C50" s="11">
        <v>1005115</v>
      </c>
      <c r="D50" s="11" t="s">
        <v>11</v>
      </c>
      <c r="E50" s="11" t="s">
        <v>22</v>
      </c>
      <c r="F50" s="11">
        <v>949.47</v>
      </c>
      <c r="G50" s="11">
        <v>566286947</v>
      </c>
      <c r="H50" s="11">
        <v>1</v>
      </c>
      <c r="I50" s="11">
        <f>SalesData[[#This Row],[Price]]*SalesData[[#This Row],[Quantity]]</f>
        <v>949.47</v>
      </c>
      <c r="J50" s="11" t="str">
        <f t="shared" si="0"/>
        <v>Medium</v>
      </c>
      <c r="K50" s="21" t="s">
        <v>290</v>
      </c>
    </row>
    <row r="51" spans="1:11">
      <c r="A51" s="10">
        <v>43774</v>
      </c>
      <c r="B51" s="11" t="s">
        <v>9</v>
      </c>
      <c r="C51" s="11">
        <v>1005115</v>
      </c>
      <c r="D51" s="11" t="s">
        <v>11</v>
      </c>
      <c r="E51" s="11" t="s">
        <v>22</v>
      </c>
      <c r="F51" s="11">
        <v>949.47</v>
      </c>
      <c r="G51" s="11">
        <v>515750054</v>
      </c>
      <c r="H51" s="11">
        <v>3</v>
      </c>
      <c r="I51" s="11">
        <f>SalesData[[#This Row],[Price]]*SalesData[[#This Row],[Quantity]]</f>
        <v>2848.41</v>
      </c>
      <c r="J51" s="11" t="str">
        <f t="shared" si="0"/>
        <v>Medium</v>
      </c>
      <c r="K51" s="21" t="s">
        <v>290</v>
      </c>
    </row>
    <row r="52" spans="1:11">
      <c r="A52" s="10">
        <v>43784</v>
      </c>
      <c r="B52" s="11" t="s">
        <v>9</v>
      </c>
      <c r="C52" s="11">
        <v>1004897</v>
      </c>
      <c r="D52" s="11" t="s">
        <v>11</v>
      </c>
      <c r="E52" s="11" t="s">
        <v>60</v>
      </c>
      <c r="F52" s="11">
        <v>952.15</v>
      </c>
      <c r="G52" s="11">
        <v>540510262</v>
      </c>
      <c r="H52" s="11">
        <v>3</v>
      </c>
      <c r="I52" s="11">
        <f>SalesData[[#This Row],[Price]]*SalesData[[#This Row],[Quantity]]</f>
        <v>2856.45</v>
      </c>
      <c r="J52" s="11" t="str">
        <f t="shared" si="0"/>
        <v>Medium</v>
      </c>
      <c r="K52" s="21" t="s">
        <v>290</v>
      </c>
    </row>
    <row r="53" spans="1:11">
      <c r="A53" s="10">
        <v>43771</v>
      </c>
      <c r="B53" s="11" t="s">
        <v>9</v>
      </c>
      <c r="C53" s="11">
        <v>1005115</v>
      </c>
      <c r="D53" s="11" t="s">
        <v>11</v>
      </c>
      <c r="E53" s="11" t="s">
        <v>22</v>
      </c>
      <c r="F53" s="11">
        <v>949.47</v>
      </c>
      <c r="G53" s="11">
        <v>547438875</v>
      </c>
      <c r="H53" s="11">
        <v>2</v>
      </c>
      <c r="I53" s="11">
        <f>SalesData[[#This Row],[Price]]*SalesData[[#This Row],[Quantity]]</f>
        <v>1898.94</v>
      </c>
      <c r="J53" s="11" t="str">
        <f t="shared" si="0"/>
        <v>Medium</v>
      </c>
      <c r="K53" s="21" t="s">
        <v>290</v>
      </c>
    </row>
    <row r="54" spans="1:11">
      <c r="A54" s="10">
        <v>43773</v>
      </c>
      <c r="B54" s="11" t="s">
        <v>9</v>
      </c>
      <c r="C54" s="11">
        <v>1005115</v>
      </c>
      <c r="D54" s="11" t="s">
        <v>11</v>
      </c>
      <c r="E54" s="11" t="s">
        <v>22</v>
      </c>
      <c r="F54" s="11">
        <v>949.47</v>
      </c>
      <c r="G54" s="11">
        <v>525144465</v>
      </c>
      <c r="H54" s="11">
        <v>4</v>
      </c>
      <c r="I54" s="11">
        <f>SalesData[[#This Row],[Price]]*SalesData[[#This Row],[Quantity]]</f>
        <v>3797.88</v>
      </c>
      <c r="J54" s="11" t="str">
        <f t="shared" si="0"/>
        <v>Medium</v>
      </c>
      <c r="K54" s="21" t="s">
        <v>290</v>
      </c>
    </row>
    <row r="55" spans="1:11">
      <c r="A55" s="10">
        <v>43784</v>
      </c>
      <c r="B55" s="11" t="s">
        <v>9</v>
      </c>
      <c r="C55" s="11">
        <v>1005115</v>
      </c>
      <c r="D55" s="11" t="s">
        <v>11</v>
      </c>
      <c r="E55" s="11" t="s">
        <v>22</v>
      </c>
      <c r="F55" s="11">
        <v>949.47</v>
      </c>
      <c r="G55" s="11">
        <v>561062956</v>
      </c>
      <c r="H55" s="11">
        <v>5</v>
      </c>
      <c r="I55" s="11">
        <f>SalesData[[#This Row],[Price]]*SalesData[[#This Row],[Quantity]]</f>
        <v>4747.3500000000004</v>
      </c>
      <c r="J55" s="11" t="str">
        <f t="shared" si="0"/>
        <v>Medium</v>
      </c>
      <c r="K55" s="21" t="s">
        <v>290</v>
      </c>
    </row>
    <row r="56" spans="1:11">
      <c r="A56" s="10">
        <v>43770</v>
      </c>
      <c r="B56" s="11" t="s">
        <v>9</v>
      </c>
      <c r="C56" s="11">
        <v>1005115</v>
      </c>
      <c r="D56" s="11" t="s">
        <v>11</v>
      </c>
      <c r="E56" s="11" t="s">
        <v>22</v>
      </c>
      <c r="F56" s="11">
        <v>949.47</v>
      </c>
      <c r="G56" s="11">
        <v>539927976</v>
      </c>
      <c r="H56" s="11">
        <v>2</v>
      </c>
      <c r="I56" s="11">
        <f>SalesData[[#This Row],[Price]]*SalesData[[#This Row],[Quantity]]</f>
        <v>1898.94</v>
      </c>
      <c r="J56" s="11" t="str">
        <f t="shared" si="0"/>
        <v>Medium</v>
      </c>
      <c r="K56" s="21" t="s">
        <v>290</v>
      </c>
    </row>
    <row r="57" spans="1:11">
      <c r="A57" s="10">
        <v>43774</v>
      </c>
      <c r="B57" s="11" t="s">
        <v>9</v>
      </c>
      <c r="C57" s="11">
        <v>1005115</v>
      </c>
      <c r="D57" s="11" t="s">
        <v>11</v>
      </c>
      <c r="E57" s="11" t="s">
        <v>22</v>
      </c>
      <c r="F57" s="11">
        <v>949.47</v>
      </c>
      <c r="G57" s="11">
        <v>556688434</v>
      </c>
      <c r="H57" s="11">
        <v>1</v>
      </c>
      <c r="I57" s="11">
        <f>SalesData[[#This Row],[Price]]*SalesData[[#This Row],[Quantity]]</f>
        <v>949.47</v>
      </c>
      <c r="J57" s="11" t="str">
        <f t="shared" si="0"/>
        <v>Medium</v>
      </c>
      <c r="K57" s="21" t="s">
        <v>290</v>
      </c>
    </row>
    <row r="58" spans="1:11">
      <c r="A58" s="10">
        <v>43775</v>
      </c>
      <c r="B58" s="11" t="s">
        <v>9</v>
      </c>
      <c r="C58" s="11">
        <v>1005115</v>
      </c>
      <c r="D58" s="11" t="s">
        <v>11</v>
      </c>
      <c r="E58" s="11" t="s">
        <v>22</v>
      </c>
      <c r="F58" s="11">
        <v>949.47</v>
      </c>
      <c r="G58" s="11">
        <v>564133858</v>
      </c>
      <c r="H58" s="11">
        <v>2</v>
      </c>
      <c r="I58" s="11">
        <f>SalesData[[#This Row],[Price]]*SalesData[[#This Row],[Quantity]]</f>
        <v>1898.94</v>
      </c>
      <c r="J58" s="11" t="str">
        <f t="shared" si="0"/>
        <v>Medium</v>
      </c>
      <c r="K58" s="21" t="s">
        <v>290</v>
      </c>
    </row>
    <row r="59" spans="1:11">
      <c r="A59" s="10">
        <v>43784</v>
      </c>
      <c r="B59" s="11" t="s">
        <v>9</v>
      </c>
      <c r="C59" s="11">
        <v>1005115</v>
      </c>
      <c r="D59" s="11" t="s">
        <v>11</v>
      </c>
      <c r="E59" s="11" t="s">
        <v>22</v>
      </c>
      <c r="F59" s="11">
        <v>949.47</v>
      </c>
      <c r="G59" s="11">
        <v>548865098</v>
      </c>
      <c r="H59" s="11">
        <v>4</v>
      </c>
      <c r="I59" s="11">
        <f>SalesData[[#This Row],[Price]]*SalesData[[#This Row],[Quantity]]</f>
        <v>3797.88</v>
      </c>
      <c r="J59" s="11" t="str">
        <f t="shared" si="0"/>
        <v>Medium</v>
      </c>
      <c r="K59" s="21" t="s">
        <v>290</v>
      </c>
    </row>
    <row r="60" spans="1:11">
      <c r="A60" s="10">
        <v>43770</v>
      </c>
      <c r="B60" s="11" t="s">
        <v>9</v>
      </c>
      <c r="C60" s="11">
        <v>1005115</v>
      </c>
      <c r="D60" s="11" t="s">
        <v>11</v>
      </c>
      <c r="E60" s="11" t="s">
        <v>22</v>
      </c>
      <c r="F60" s="11">
        <v>949.47</v>
      </c>
      <c r="G60" s="11">
        <v>560902341</v>
      </c>
      <c r="H60" s="11">
        <v>3</v>
      </c>
      <c r="I60" s="11">
        <f>SalesData[[#This Row],[Price]]*SalesData[[#This Row],[Quantity]]</f>
        <v>2848.41</v>
      </c>
      <c r="J60" s="11" t="str">
        <f t="shared" si="0"/>
        <v>Medium</v>
      </c>
      <c r="K60" s="21" t="s">
        <v>290</v>
      </c>
    </row>
    <row r="61" spans="1:11">
      <c r="A61" s="10">
        <v>43784</v>
      </c>
      <c r="B61" s="11" t="s">
        <v>9</v>
      </c>
      <c r="C61" s="11">
        <v>1005115</v>
      </c>
      <c r="D61" s="11" t="s">
        <v>11</v>
      </c>
      <c r="E61" s="11" t="s">
        <v>22</v>
      </c>
      <c r="F61" s="11">
        <v>949.47</v>
      </c>
      <c r="G61" s="11">
        <v>513239433</v>
      </c>
      <c r="H61" s="11">
        <v>3</v>
      </c>
      <c r="I61" s="11">
        <f>SalesData[[#This Row],[Price]]*SalesData[[#This Row],[Quantity]]</f>
        <v>2848.41</v>
      </c>
      <c r="J61" s="11" t="str">
        <f t="shared" si="0"/>
        <v>Medium</v>
      </c>
      <c r="K61" s="21" t="s">
        <v>290</v>
      </c>
    </row>
    <row r="62" spans="1:11">
      <c r="A62" s="10">
        <v>43776</v>
      </c>
      <c r="B62" s="11" t="s">
        <v>9</v>
      </c>
      <c r="C62" s="11">
        <v>1005115</v>
      </c>
      <c r="D62" s="11" t="s">
        <v>11</v>
      </c>
      <c r="E62" s="11" t="s">
        <v>22</v>
      </c>
      <c r="F62" s="11">
        <v>949.47</v>
      </c>
      <c r="G62" s="11">
        <v>546076557</v>
      </c>
      <c r="H62" s="11">
        <v>5</v>
      </c>
      <c r="I62" s="11">
        <f>SalesData[[#This Row],[Price]]*SalesData[[#This Row],[Quantity]]</f>
        <v>4747.3500000000004</v>
      </c>
      <c r="J62" s="11" t="str">
        <f t="shared" si="0"/>
        <v>Medium</v>
      </c>
      <c r="K62" s="21" t="s">
        <v>290</v>
      </c>
    </row>
    <row r="63" spans="1:11">
      <c r="A63" s="10">
        <v>43773</v>
      </c>
      <c r="B63" s="11" t="s">
        <v>9</v>
      </c>
      <c r="C63" s="11">
        <v>1005115</v>
      </c>
      <c r="D63" s="11" t="s">
        <v>11</v>
      </c>
      <c r="E63" s="11" t="s">
        <v>22</v>
      </c>
      <c r="F63" s="11">
        <v>949.47</v>
      </c>
      <c r="G63" s="11">
        <v>518747313</v>
      </c>
      <c r="H63" s="11">
        <v>3</v>
      </c>
      <c r="I63" s="11">
        <f>SalesData[[#This Row],[Price]]*SalesData[[#This Row],[Quantity]]</f>
        <v>2848.41</v>
      </c>
      <c r="J63" s="11" t="str">
        <f t="shared" si="0"/>
        <v>Medium</v>
      </c>
      <c r="K63" s="21" t="s">
        <v>290</v>
      </c>
    </row>
    <row r="64" spans="1:11">
      <c r="A64" s="10">
        <v>43771</v>
      </c>
      <c r="B64" s="11" t="s">
        <v>9</v>
      </c>
      <c r="C64" s="11">
        <v>1005115</v>
      </c>
      <c r="D64" s="11" t="s">
        <v>11</v>
      </c>
      <c r="E64" s="11" t="s">
        <v>22</v>
      </c>
      <c r="F64" s="11">
        <v>949.47</v>
      </c>
      <c r="G64" s="11">
        <v>535175624</v>
      </c>
      <c r="H64" s="11">
        <v>1</v>
      </c>
      <c r="I64" s="11">
        <f>SalesData[[#This Row],[Price]]*SalesData[[#This Row],[Quantity]]</f>
        <v>949.47</v>
      </c>
      <c r="J64" s="11" t="str">
        <f t="shared" si="0"/>
        <v>Medium</v>
      </c>
      <c r="K64" s="21" t="s">
        <v>290</v>
      </c>
    </row>
    <row r="65" spans="1:11">
      <c r="A65" s="10">
        <v>43778</v>
      </c>
      <c r="B65" s="11" t="s">
        <v>9</v>
      </c>
      <c r="C65" s="11">
        <v>1005115</v>
      </c>
      <c r="D65" s="11" t="s">
        <v>11</v>
      </c>
      <c r="E65" s="11" t="s">
        <v>22</v>
      </c>
      <c r="F65" s="11">
        <v>949.47</v>
      </c>
      <c r="G65" s="11">
        <v>531560347</v>
      </c>
      <c r="H65" s="11">
        <v>5</v>
      </c>
      <c r="I65" s="11">
        <f>SalesData[[#This Row],[Price]]*SalesData[[#This Row],[Quantity]]</f>
        <v>4747.3500000000004</v>
      </c>
      <c r="J65" s="11" t="str">
        <f t="shared" si="0"/>
        <v>Medium</v>
      </c>
      <c r="K65" s="21" t="s">
        <v>290</v>
      </c>
    </row>
    <row r="66" spans="1:11">
      <c r="A66" s="10">
        <v>43775</v>
      </c>
      <c r="B66" s="11" t="s">
        <v>9</v>
      </c>
      <c r="C66" s="11">
        <v>1005115</v>
      </c>
      <c r="D66" s="11" t="s">
        <v>11</v>
      </c>
      <c r="E66" s="11" t="s">
        <v>22</v>
      </c>
      <c r="F66" s="11">
        <v>949.47</v>
      </c>
      <c r="G66" s="11">
        <v>565348737</v>
      </c>
      <c r="H66" s="11">
        <v>5</v>
      </c>
      <c r="I66" s="11">
        <f>SalesData[[#This Row],[Price]]*SalesData[[#This Row],[Quantity]]</f>
        <v>4747.3500000000004</v>
      </c>
      <c r="J66" s="11" t="str">
        <f t="shared" ref="J66:J129" si="1">IF(F66&lt;500, "Low", IF(F66&lt;1500, "Medium", "High"))</f>
        <v>Medium</v>
      </c>
      <c r="K66" s="21" t="s">
        <v>290</v>
      </c>
    </row>
    <row r="67" spans="1:11">
      <c r="A67" s="10">
        <v>43770</v>
      </c>
      <c r="B67" s="11" t="s">
        <v>9</v>
      </c>
      <c r="C67" s="11">
        <v>1005115</v>
      </c>
      <c r="D67" s="11" t="s">
        <v>11</v>
      </c>
      <c r="E67" s="11" t="s">
        <v>22</v>
      </c>
      <c r="F67" s="11">
        <v>949.47</v>
      </c>
      <c r="G67" s="11">
        <v>515412653</v>
      </c>
      <c r="H67" s="11">
        <v>5</v>
      </c>
      <c r="I67" s="11">
        <f>SalesData[[#This Row],[Price]]*SalesData[[#This Row],[Quantity]]</f>
        <v>4747.3500000000004</v>
      </c>
      <c r="J67" s="11" t="str">
        <f t="shared" si="1"/>
        <v>Medium</v>
      </c>
      <c r="K67" s="21" t="s">
        <v>290</v>
      </c>
    </row>
    <row r="68" spans="1:11">
      <c r="A68" s="10">
        <v>43783</v>
      </c>
      <c r="B68" s="11" t="s">
        <v>9</v>
      </c>
      <c r="C68" s="11">
        <v>1005115</v>
      </c>
      <c r="D68" s="11" t="s">
        <v>11</v>
      </c>
      <c r="E68" s="11" t="s">
        <v>22</v>
      </c>
      <c r="F68" s="11">
        <v>949.47</v>
      </c>
      <c r="G68" s="11">
        <v>547712096</v>
      </c>
      <c r="H68" s="11">
        <v>4</v>
      </c>
      <c r="I68" s="11">
        <f>SalesData[[#This Row],[Price]]*SalesData[[#This Row],[Quantity]]</f>
        <v>3797.88</v>
      </c>
      <c r="J68" s="11" t="str">
        <f t="shared" si="1"/>
        <v>Medium</v>
      </c>
      <c r="K68" s="21" t="s">
        <v>290</v>
      </c>
    </row>
    <row r="69" spans="1:11">
      <c r="A69" s="10">
        <v>43778</v>
      </c>
      <c r="B69" s="11" t="s">
        <v>9</v>
      </c>
      <c r="C69" s="11">
        <v>1005115</v>
      </c>
      <c r="D69" s="11" t="s">
        <v>11</v>
      </c>
      <c r="E69" s="11" t="s">
        <v>22</v>
      </c>
      <c r="F69" s="11">
        <v>949.47</v>
      </c>
      <c r="G69" s="11">
        <v>525904178</v>
      </c>
      <c r="H69" s="11">
        <v>5</v>
      </c>
      <c r="I69" s="11">
        <f>SalesData[[#This Row],[Price]]*SalesData[[#This Row],[Quantity]]</f>
        <v>4747.3500000000004</v>
      </c>
      <c r="J69" s="11" t="str">
        <f t="shared" si="1"/>
        <v>Medium</v>
      </c>
      <c r="K69" s="21" t="s">
        <v>290</v>
      </c>
    </row>
    <row r="70" spans="1:11">
      <c r="A70" s="10">
        <v>43777</v>
      </c>
      <c r="B70" s="11" t="s">
        <v>9</v>
      </c>
      <c r="C70" s="11">
        <v>1005115</v>
      </c>
      <c r="D70" s="11" t="s">
        <v>11</v>
      </c>
      <c r="E70" s="11" t="s">
        <v>22</v>
      </c>
      <c r="F70" s="11">
        <v>949.47</v>
      </c>
      <c r="G70" s="11">
        <v>520028649</v>
      </c>
      <c r="H70" s="11">
        <v>4</v>
      </c>
      <c r="I70" s="11">
        <f>SalesData[[#This Row],[Price]]*SalesData[[#This Row],[Quantity]]</f>
        <v>3797.88</v>
      </c>
      <c r="J70" s="11" t="str">
        <f t="shared" si="1"/>
        <v>Medium</v>
      </c>
      <c r="K70" s="21" t="s">
        <v>290</v>
      </c>
    </row>
    <row r="71" spans="1:11">
      <c r="A71" s="10">
        <v>43770</v>
      </c>
      <c r="B71" s="11" t="s">
        <v>9</v>
      </c>
      <c r="C71" s="11">
        <v>1005115</v>
      </c>
      <c r="D71" s="11" t="s">
        <v>11</v>
      </c>
      <c r="E71" s="11" t="s">
        <v>22</v>
      </c>
      <c r="F71" s="11">
        <v>949.47</v>
      </c>
      <c r="G71" s="11">
        <v>533365442</v>
      </c>
      <c r="H71" s="11">
        <v>3</v>
      </c>
      <c r="I71" s="11">
        <f>SalesData[[#This Row],[Price]]*SalesData[[#This Row],[Quantity]]</f>
        <v>2848.41</v>
      </c>
      <c r="J71" s="11" t="str">
        <f t="shared" si="1"/>
        <v>Medium</v>
      </c>
      <c r="K71" s="21" t="s">
        <v>290</v>
      </c>
    </row>
    <row r="72" spans="1:11">
      <c r="A72" s="10">
        <v>43772</v>
      </c>
      <c r="B72" s="11" t="s">
        <v>9</v>
      </c>
      <c r="C72" s="11">
        <v>1005115</v>
      </c>
      <c r="D72" s="11" t="s">
        <v>11</v>
      </c>
      <c r="E72" s="11" t="s">
        <v>22</v>
      </c>
      <c r="F72" s="11">
        <v>949.47</v>
      </c>
      <c r="G72" s="11">
        <v>537803994</v>
      </c>
      <c r="H72" s="11">
        <v>5</v>
      </c>
      <c r="I72" s="11">
        <f>SalesData[[#This Row],[Price]]*SalesData[[#This Row],[Quantity]]</f>
        <v>4747.3500000000004</v>
      </c>
      <c r="J72" s="11" t="str">
        <f t="shared" si="1"/>
        <v>Medium</v>
      </c>
      <c r="K72" s="21" t="s">
        <v>290</v>
      </c>
    </row>
    <row r="73" spans="1:11">
      <c r="A73" s="10">
        <v>43781</v>
      </c>
      <c r="B73" s="11" t="s">
        <v>9</v>
      </c>
      <c r="C73" s="11">
        <v>1005115</v>
      </c>
      <c r="D73" s="11" t="s">
        <v>11</v>
      </c>
      <c r="E73" s="11" t="s">
        <v>22</v>
      </c>
      <c r="F73" s="11">
        <v>949.47</v>
      </c>
      <c r="G73" s="11">
        <v>515380503</v>
      </c>
      <c r="H73" s="11">
        <v>4</v>
      </c>
      <c r="I73" s="11">
        <f>SalesData[[#This Row],[Price]]*SalesData[[#This Row],[Quantity]]</f>
        <v>3797.88</v>
      </c>
      <c r="J73" s="11" t="str">
        <f t="shared" si="1"/>
        <v>Medium</v>
      </c>
      <c r="K73" s="21" t="s">
        <v>290</v>
      </c>
    </row>
    <row r="74" spans="1:11">
      <c r="A74" s="10">
        <v>43772</v>
      </c>
      <c r="B74" s="11" t="s">
        <v>9</v>
      </c>
      <c r="C74" s="11">
        <v>1005115</v>
      </c>
      <c r="D74" s="11" t="s">
        <v>11</v>
      </c>
      <c r="E74" s="11" t="s">
        <v>22</v>
      </c>
      <c r="F74" s="11">
        <v>949.47</v>
      </c>
      <c r="G74" s="11">
        <v>566145046</v>
      </c>
      <c r="H74" s="11">
        <v>1</v>
      </c>
      <c r="I74" s="11">
        <f>SalesData[[#This Row],[Price]]*SalesData[[#This Row],[Quantity]]</f>
        <v>949.47</v>
      </c>
      <c r="J74" s="11" t="str">
        <f t="shared" si="1"/>
        <v>Medium</v>
      </c>
      <c r="K74" s="21" t="s">
        <v>290</v>
      </c>
    </row>
    <row r="75" spans="1:11">
      <c r="A75" s="10">
        <v>43770</v>
      </c>
      <c r="B75" s="11" t="s">
        <v>9</v>
      </c>
      <c r="C75" s="11">
        <v>1005115</v>
      </c>
      <c r="D75" s="11" t="s">
        <v>11</v>
      </c>
      <c r="E75" s="11" t="s">
        <v>22</v>
      </c>
      <c r="F75" s="11">
        <v>949.47</v>
      </c>
      <c r="G75" s="11">
        <v>541372782</v>
      </c>
      <c r="H75" s="11">
        <v>3</v>
      </c>
      <c r="I75" s="11">
        <f>SalesData[[#This Row],[Price]]*SalesData[[#This Row],[Quantity]]</f>
        <v>2848.41</v>
      </c>
      <c r="J75" s="11" t="str">
        <f t="shared" si="1"/>
        <v>Medium</v>
      </c>
      <c r="K75" s="21" t="s">
        <v>290</v>
      </c>
    </row>
    <row r="76" spans="1:11">
      <c r="A76" s="10">
        <v>43778</v>
      </c>
      <c r="B76" s="11" t="s">
        <v>9</v>
      </c>
      <c r="C76" s="11">
        <v>1005115</v>
      </c>
      <c r="D76" s="11" t="s">
        <v>11</v>
      </c>
      <c r="E76" s="11" t="s">
        <v>22</v>
      </c>
      <c r="F76" s="11">
        <v>949.47</v>
      </c>
      <c r="G76" s="11">
        <v>525191289</v>
      </c>
      <c r="H76" s="11">
        <v>4</v>
      </c>
      <c r="I76" s="11">
        <f>SalesData[[#This Row],[Price]]*SalesData[[#This Row],[Quantity]]</f>
        <v>3797.88</v>
      </c>
      <c r="J76" s="11" t="str">
        <f t="shared" si="1"/>
        <v>Medium</v>
      </c>
      <c r="K76" s="21" t="s">
        <v>290</v>
      </c>
    </row>
    <row r="77" spans="1:11">
      <c r="A77" s="10">
        <v>43777</v>
      </c>
      <c r="B77" s="11" t="s">
        <v>9</v>
      </c>
      <c r="C77" s="11">
        <v>1005115</v>
      </c>
      <c r="D77" s="11" t="s">
        <v>11</v>
      </c>
      <c r="E77" s="11" t="s">
        <v>22</v>
      </c>
      <c r="F77" s="11">
        <v>949.47</v>
      </c>
      <c r="G77" s="11">
        <v>538781131</v>
      </c>
      <c r="H77" s="11">
        <v>3</v>
      </c>
      <c r="I77" s="11">
        <f>SalesData[[#This Row],[Price]]*SalesData[[#This Row],[Quantity]]</f>
        <v>2848.41</v>
      </c>
      <c r="J77" s="11" t="str">
        <f t="shared" si="1"/>
        <v>Medium</v>
      </c>
      <c r="K77" s="21" t="s">
        <v>290</v>
      </c>
    </row>
    <row r="78" spans="1:11">
      <c r="A78" s="10">
        <v>43782</v>
      </c>
      <c r="B78" s="11" t="s">
        <v>9</v>
      </c>
      <c r="C78" s="11">
        <v>1003316</v>
      </c>
      <c r="D78" s="11" t="s">
        <v>11</v>
      </c>
      <c r="E78" s="11" t="s">
        <v>22</v>
      </c>
      <c r="F78" s="11">
        <v>928.38</v>
      </c>
      <c r="G78" s="11">
        <v>566094996</v>
      </c>
      <c r="H78" s="11">
        <v>3</v>
      </c>
      <c r="I78" s="11">
        <f>SalesData[[#This Row],[Price]]*SalesData[[#This Row],[Quantity]]</f>
        <v>2785.14</v>
      </c>
      <c r="J78" s="11" t="str">
        <f t="shared" si="1"/>
        <v>Medium</v>
      </c>
      <c r="K78" s="21" t="s">
        <v>290</v>
      </c>
    </row>
    <row r="79" spans="1:11">
      <c r="A79" s="10">
        <v>43775</v>
      </c>
      <c r="B79" s="11" t="s">
        <v>9</v>
      </c>
      <c r="C79" s="11">
        <v>1003317</v>
      </c>
      <c r="D79" s="11" t="s">
        <v>11</v>
      </c>
      <c r="E79" s="11" t="s">
        <v>22</v>
      </c>
      <c r="F79" s="11">
        <v>928.18</v>
      </c>
      <c r="G79" s="11">
        <v>537012398</v>
      </c>
      <c r="H79" s="11">
        <v>5</v>
      </c>
      <c r="I79" s="11">
        <f>SalesData[[#This Row],[Price]]*SalesData[[#This Row],[Quantity]]</f>
        <v>4640.8999999999996</v>
      </c>
      <c r="J79" s="11" t="str">
        <f t="shared" si="1"/>
        <v>Medium</v>
      </c>
      <c r="K79" s="21" t="s">
        <v>290</v>
      </c>
    </row>
    <row r="80" spans="1:11">
      <c r="A80" s="10">
        <v>43778</v>
      </c>
      <c r="B80" s="11" t="s">
        <v>9</v>
      </c>
      <c r="C80" s="11">
        <v>1003317</v>
      </c>
      <c r="D80" s="11" t="s">
        <v>11</v>
      </c>
      <c r="E80" s="11" t="s">
        <v>22</v>
      </c>
      <c r="F80" s="11">
        <v>928.18</v>
      </c>
      <c r="G80" s="11">
        <v>530382924</v>
      </c>
      <c r="H80" s="11">
        <v>3</v>
      </c>
      <c r="I80" s="11">
        <f>SalesData[[#This Row],[Price]]*SalesData[[#This Row],[Quantity]]</f>
        <v>2784.54</v>
      </c>
      <c r="J80" s="11" t="str">
        <f t="shared" si="1"/>
        <v>Medium</v>
      </c>
      <c r="K80" s="21" t="s">
        <v>290</v>
      </c>
    </row>
    <row r="81" spans="1:11">
      <c r="A81" s="10">
        <v>43779</v>
      </c>
      <c r="B81" s="11" t="s">
        <v>9</v>
      </c>
      <c r="C81" s="11">
        <v>1003317</v>
      </c>
      <c r="D81" s="11" t="s">
        <v>11</v>
      </c>
      <c r="E81" s="11" t="s">
        <v>22</v>
      </c>
      <c r="F81" s="11">
        <v>928.18</v>
      </c>
      <c r="G81" s="11">
        <v>518956507</v>
      </c>
      <c r="H81" s="11">
        <v>5</v>
      </c>
      <c r="I81" s="11">
        <f>SalesData[[#This Row],[Price]]*SalesData[[#This Row],[Quantity]]</f>
        <v>4640.8999999999996</v>
      </c>
      <c r="J81" s="11" t="str">
        <f t="shared" si="1"/>
        <v>Medium</v>
      </c>
      <c r="K81" s="21" t="s">
        <v>290</v>
      </c>
    </row>
    <row r="82" spans="1:11">
      <c r="A82" s="10">
        <v>43780</v>
      </c>
      <c r="B82" s="11" t="s">
        <v>9</v>
      </c>
      <c r="C82" s="11">
        <v>1003309</v>
      </c>
      <c r="D82" s="11" t="s">
        <v>11</v>
      </c>
      <c r="E82" s="11" t="s">
        <v>22</v>
      </c>
      <c r="F82" s="11">
        <v>823.16</v>
      </c>
      <c r="G82" s="11">
        <v>542414491</v>
      </c>
      <c r="H82" s="11">
        <v>5</v>
      </c>
      <c r="I82" s="11">
        <f>SalesData[[#This Row],[Price]]*SalesData[[#This Row],[Quantity]]</f>
        <v>4115.8</v>
      </c>
      <c r="J82" s="11" t="str">
        <f t="shared" si="1"/>
        <v>Medium</v>
      </c>
      <c r="K82" s="21" t="s">
        <v>290</v>
      </c>
    </row>
    <row r="83" spans="1:11">
      <c r="A83" s="10">
        <v>43771</v>
      </c>
      <c r="B83" s="11" t="s">
        <v>9</v>
      </c>
      <c r="C83" s="11">
        <v>1004253</v>
      </c>
      <c r="D83" s="11" t="s">
        <v>11</v>
      </c>
      <c r="E83" s="11" t="s">
        <v>22</v>
      </c>
      <c r="F83" s="11">
        <v>776.08</v>
      </c>
      <c r="G83" s="11">
        <v>522717744</v>
      </c>
      <c r="H83" s="11">
        <v>3</v>
      </c>
      <c r="I83" s="11">
        <f>SalesData[[#This Row],[Price]]*SalesData[[#This Row],[Quantity]]</f>
        <v>2328.2400000000002</v>
      </c>
      <c r="J83" s="11" t="str">
        <f t="shared" si="1"/>
        <v>Medium</v>
      </c>
      <c r="K83" s="21" t="s">
        <v>290</v>
      </c>
    </row>
    <row r="84" spans="1:11">
      <c r="A84" s="10">
        <v>43771</v>
      </c>
      <c r="B84" s="11" t="s">
        <v>9</v>
      </c>
      <c r="C84" s="11">
        <v>1004246</v>
      </c>
      <c r="D84" s="11" t="s">
        <v>11</v>
      </c>
      <c r="E84" s="11" t="s">
        <v>22</v>
      </c>
      <c r="F84" s="11">
        <v>749.67</v>
      </c>
      <c r="G84" s="11">
        <v>562783832</v>
      </c>
      <c r="H84" s="11">
        <v>4</v>
      </c>
      <c r="I84" s="11">
        <f>SalesData[[#This Row],[Price]]*SalesData[[#This Row],[Quantity]]</f>
        <v>2998.68</v>
      </c>
      <c r="J84" s="11" t="str">
        <f t="shared" si="1"/>
        <v>Medium</v>
      </c>
      <c r="K84" s="21" t="s">
        <v>290</v>
      </c>
    </row>
    <row r="85" spans="1:11">
      <c r="A85" s="10">
        <v>43773</v>
      </c>
      <c r="B85" s="11" t="s">
        <v>9</v>
      </c>
      <c r="C85" s="11">
        <v>1004246</v>
      </c>
      <c r="D85" s="11" t="s">
        <v>11</v>
      </c>
      <c r="E85" s="11" t="s">
        <v>22</v>
      </c>
      <c r="F85" s="11">
        <v>749.67</v>
      </c>
      <c r="G85" s="11">
        <v>521734903</v>
      </c>
      <c r="H85" s="11">
        <v>3</v>
      </c>
      <c r="I85" s="11">
        <f>SalesData[[#This Row],[Price]]*SalesData[[#This Row],[Quantity]]</f>
        <v>2249.0099999999998</v>
      </c>
      <c r="J85" s="11" t="str">
        <f t="shared" si="1"/>
        <v>Medium</v>
      </c>
      <c r="K85" s="21" t="s">
        <v>290</v>
      </c>
    </row>
    <row r="86" spans="1:11">
      <c r="A86" s="10">
        <v>43777</v>
      </c>
      <c r="B86" s="11" t="s">
        <v>9</v>
      </c>
      <c r="C86" s="11">
        <v>1004246</v>
      </c>
      <c r="D86" s="11" t="s">
        <v>11</v>
      </c>
      <c r="E86" s="11" t="s">
        <v>22</v>
      </c>
      <c r="F86" s="11">
        <v>749.67</v>
      </c>
      <c r="G86" s="11">
        <v>562783832</v>
      </c>
      <c r="H86" s="11">
        <v>2</v>
      </c>
      <c r="I86" s="11">
        <f>SalesData[[#This Row],[Price]]*SalesData[[#This Row],[Quantity]]</f>
        <v>1499.34</v>
      </c>
      <c r="J86" s="11" t="str">
        <f t="shared" si="1"/>
        <v>Medium</v>
      </c>
      <c r="K86" s="21" t="s">
        <v>290</v>
      </c>
    </row>
    <row r="87" spans="1:11">
      <c r="A87" s="10">
        <v>43774</v>
      </c>
      <c r="B87" s="11" t="s">
        <v>9</v>
      </c>
      <c r="C87" s="11">
        <v>1004258</v>
      </c>
      <c r="D87" s="11" t="s">
        <v>11</v>
      </c>
      <c r="E87" s="11" t="s">
        <v>22</v>
      </c>
      <c r="F87" s="11">
        <v>732.07</v>
      </c>
      <c r="G87" s="11">
        <v>514450085</v>
      </c>
      <c r="H87" s="11">
        <v>5</v>
      </c>
      <c r="I87" s="11">
        <f>SalesData[[#This Row],[Price]]*SalesData[[#This Row],[Quantity]]</f>
        <v>3660.3500000000004</v>
      </c>
      <c r="J87" s="11" t="str">
        <f t="shared" si="1"/>
        <v>Medium</v>
      </c>
      <c r="K87" s="21" t="s">
        <v>290</v>
      </c>
    </row>
    <row r="88" spans="1:11">
      <c r="A88" s="10">
        <v>43772</v>
      </c>
      <c r="B88" s="11" t="s">
        <v>9</v>
      </c>
      <c r="C88" s="11">
        <v>1307187</v>
      </c>
      <c r="D88" s="11" t="s">
        <v>69</v>
      </c>
      <c r="E88" s="11" t="s">
        <v>94</v>
      </c>
      <c r="F88" s="11">
        <v>888.03</v>
      </c>
      <c r="G88" s="11">
        <v>513373830</v>
      </c>
      <c r="H88" s="11">
        <v>3</v>
      </c>
      <c r="I88" s="11">
        <f>SalesData[[#This Row],[Price]]*SalesData[[#This Row],[Quantity]]</f>
        <v>2664.09</v>
      </c>
      <c r="J88" s="11" t="str">
        <f t="shared" si="1"/>
        <v>Medium</v>
      </c>
      <c r="K88" s="21" t="s">
        <v>291</v>
      </c>
    </row>
    <row r="89" spans="1:11">
      <c r="A89" s="10">
        <v>43776</v>
      </c>
      <c r="B89" s="11" t="s">
        <v>9</v>
      </c>
      <c r="C89" s="11">
        <v>1480494</v>
      </c>
      <c r="D89" s="11" t="s">
        <v>24</v>
      </c>
      <c r="E89" s="11" t="s">
        <v>94</v>
      </c>
      <c r="F89" s="11">
        <v>874.93</v>
      </c>
      <c r="G89" s="11">
        <v>558698483</v>
      </c>
      <c r="H89" s="11">
        <v>5</v>
      </c>
      <c r="I89" s="11">
        <f>SalesData[[#This Row],[Price]]*SalesData[[#This Row],[Quantity]]</f>
        <v>4374.6499999999996</v>
      </c>
      <c r="J89" s="11" t="str">
        <f t="shared" si="1"/>
        <v>Medium</v>
      </c>
      <c r="K89" s="21" t="s">
        <v>291</v>
      </c>
    </row>
    <row r="90" spans="1:11">
      <c r="A90" s="10">
        <v>43778</v>
      </c>
      <c r="B90" s="11" t="s">
        <v>9</v>
      </c>
      <c r="C90" s="11">
        <v>1004258</v>
      </c>
      <c r="D90" s="11" t="s">
        <v>11</v>
      </c>
      <c r="E90" s="11" t="s">
        <v>22</v>
      </c>
      <c r="F90" s="11">
        <v>732.07</v>
      </c>
      <c r="G90" s="11">
        <v>512583935</v>
      </c>
      <c r="H90" s="11">
        <v>3</v>
      </c>
      <c r="I90" s="11">
        <f>SalesData[[#This Row],[Price]]*SalesData[[#This Row],[Quantity]]</f>
        <v>2196.21</v>
      </c>
      <c r="J90" s="11" t="str">
        <f t="shared" si="1"/>
        <v>Medium</v>
      </c>
      <c r="K90" s="21" t="s">
        <v>290</v>
      </c>
    </row>
    <row r="91" spans="1:11">
      <c r="A91" s="10">
        <v>43784</v>
      </c>
      <c r="B91" s="11" t="s">
        <v>9</v>
      </c>
      <c r="C91" s="11">
        <v>15100238</v>
      </c>
      <c r="D91" s="11" t="s">
        <v>235</v>
      </c>
      <c r="E91" s="11" t="s">
        <v>235</v>
      </c>
      <c r="F91" s="11">
        <v>818.19</v>
      </c>
      <c r="G91" s="11">
        <v>555228198</v>
      </c>
      <c r="H91" s="11">
        <v>4</v>
      </c>
      <c r="I91" s="11">
        <f>SalesData[[#This Row],[Price]]*SalesData[[#This Row],[Quantity]]</f>
        <v>3272.76</v>
      </c>
      <c r="J91" s="11" t="str">
        <f t="shared" si="1"/>
        <v>Medium</v>
      </c>
      <c r="K91" s="21" t="s">
        <v>235</v>
      </c>
    </row>
    <row r="92" spans="1:11">
      <c r="A92" s="10">
        <v>43772</v>
      </c>
      <c r="B92" s="11" t="s">
        <v>9</v>
      </c>
      <c r="C92" s="11">
        <v>1004258</v>
      </c>
      <c r="D92" s="11" t="s">
        <v>11</v>
      </c>
      <c r="E92" s="11" t="s">
        <v>22</v>
      </c>
      <c r="F92" s="11">
        <v>732.07</v>
      </c>
      <c r="G92" s="11">
        <v>566303051</v>
      </c>
      <c r="H92" s="11">
        <v>4</v>
      </c>
      <c r="I92" s="11">
        <f>SalesData[[#This Row],[Price]]*SalesData[[#This Row],[Quantity]]</f>
        <v>2928.28</v>
      </c>
      <c r="J92" s="11" t="str">
        <f t="shared" si="1"/>
        <v>Medium</v>
      </c>
      <c r="K92" s="21" t="s">
        <v>290</v>
      </c>
    </row>
    <row r="93" spans="1:11">
      <c r="A93" s="10">
        <v>43777</v>
      </c>
      <c r="B93" s="11" t="s">
        <v>9</v>
      </c>
      <c r="C93" s="11">
        <v>1480557</v>
      </c>
      <c r="D93" s="11" t="s">
        <v>24</v>
      </c>
      <c r="E93" s="11" t="s">
        <v>25</v>
      </c>
      <c r="F93" s="11">
        <v>772.19</v>
      </c>
      <c r="G93" s="11">
        <v>555942729</v>
      </c>
      <c r="H93" s="11">
        <v>2</v>
      </c>
      <c r="I93" s="11">
        <f>SalesData[[#This Row],[Price]]*SalesData[[#This Row],[Quantity]]</f>
        <v>1544.38</v>
      </c>
      <c r="J93" s="11" t="str">
        <f t="shared" si="1"/>
        <v>Medium</v>
      </c>
      <c r="K93" s="21" t="s">
        <v>291</v>
      </c>
    </row>
    <row r="94" spans="1:11">
      <c r="A94" s="10">
        <v>43779</v>
      </c>
      <c r="B94" s="11" t="s">
        <v>9</v>
      </c>
      <c r="C94" s="11">
        <v>9600012</v>
      </c>
      <c r="D94" s="11" t="s">
        <v>235</v>
      </c>
      <c r="E94" s="11" t="s">
        <v>104</v>
      </c>
      <c r="F94" s="11">
        <v>771.96</v>
      </c>
      <c r="G94" s="11">
        <v>554847297</v>
      </c>
      <c r="H94" s="11">
        <v>5</v>
      </c>
      <c r="I94" s="11">
        <f>SalesData[[#This Row],[Price]]*SalesData[[#This Row],[Quantity]]</f>
        <v>3859.8</v>
      </c>
      <c r="J94" s="11" t="str">
        <f t="shared" si="1"/>
        <v>Medium</v>
      </c>
      <c r="K94" s="21" t="s">
        <v>235</v>
      </c>
    </row>
    <row r="95" spans="1:11">
      <c r="A95" s="10">
        <v>43770</v>
      </c>
      <c r="B95" s="11" t="s">
        <v>9</v>
      </c>
      <c r="C95" s="11">
        <v>1004258</v>
      </c>
      <c r="D95" s="11" t="s">
        <v>11</v>
      </c>
      <c r="E95" s="11" t="s">
        <v>22</v>
      </c>
      <c r="F95" s="11">
        <v>732.07</v>
      </c>
      <c r="G95" s="11">
        <v>520086731</v>
      </c>
      <c r="H95" s="11">
        <v>3</v>
      </c>
      <c r="I95" s="11">
        <f>SalesData[[#This Row],[Price]]*SalesData[[#This Row],[Quantity]]</f>
        <v>2196.21</v>
      </c>
      <c r="J95" s="11" t="str">
        <f t="shared" si="1"/>
        <v>Medium</v>
      </c>
      <c r="K95" s="21" t="s">
        <v>290</v>
      </c>
    </row>
    <row r="96" spans="1:11">
      <c r="A96" s="10">
        <v>43774</v>
      </c>
      <c r="B96" s="11" t="s">
        <v>9</v>
      </c>
      <c r="C96" s="11">
        <v>8500094</v>
      </c>
      <c r="D96" s="11" t="s">
        <v>235</v>
      </c>
      <c r="E96" s="11" t="s">
        <v>38</v>
      </c>
      <c r="F96" s="11">
        <v>757.7</v>
      </c>
      <c r="G96" s="11">
        <v>515089842</v>
      </c>
      <c r="H96" s="11">
        <v>1</v>
      </c>
      <c r="I96" s="11">
        <f>SalesData[[#This Row],[Price]]*SalesData[[#This Row],[Quantity]]</f>
        <v>757.7</v>
      </c>
      <c r="J96" s="11" t="str">
        <f t="shared" si="1"/>
        <v>Medium</v>
      </c>
      <c r="K96" s="21" t="s">
        <v>235</v>
      </c>
    </row>
    <row r="97" spans="1:11">
      <c r="A97" s="10">
        <v>43780</v>
      </c>
      <c r="B97" s="11" t="s">
        <v>9</v>
      </c>
      <c r="C97" s="11">
        <v>1307074</v>
      </c>
      <c r="D97" s="11" t="s">
        <v>69</v>
      </c>
      <c r="E97" s="11" t="s">
        <v>94</v>
      </c>
      <c r="F97" s="11">
        <v>751.27</v>
      </c>
      <c r="G97" s="11">
        <v>558698483</v>
      </c>
      <c r="H97" s="11">
        <v>2</v>
      </c>
      <c r="I97" s="11">
        <f>SalesData[[#This Row],[Price]]*SalesData[[#This Row],[Quantity]]</f>
        <v>1502.54</v>
      </c>
      <c r="J97" s="11" t="str">
        <f t="shared" si="1"/>
        <v>Medium</v>
      </c>
      <c r="K97" s="21" t="s">
        <v>291</v>
      </c>
    </row>
    <row r="98" spans="1:11">
      <c r="A98" s="10">
        <v>43784</v>
      </c>
      <c r="B98" s="11" t="s">
        <v>9</v>
      </c>
      <c r="C98" s="11">
        <v>1307074</v>
      </c>
      <c r="D98" s="11" t="s">
        <v>69</v>
      </c>
      <c r="E98" s="11" t="s">
        <v>94</v>
      </c>
      <c r="F98" s="11">
        <v>751.27</v>
      </c>
      <c r="G98" s="11">
        <v>558698483</v>
      </c>
      <c r="H98" s="11">
        <v>2</v>
      </c>
      <c r="I98" s="11">
        <f>SalesData[[#This Row],[Price]]*SalesData[[#This Row],[Quantity]]</f>
        <v>1502.54</v>
      </c>
      <c r="J98" s="11" t="str">
        <f t="shared" si="1"/>
        <v>Medium</v>
      </c>
      <c r="K98" s="21" t="s">
        <v>291</v>
      </c>
    </row>
    <row r="99" spans="1:11">
      <c r="A99" s="10">
        <v>43780</v>
      </c>
      <c r="B99" s="11" t="s">
        <v>9</v>
      </c>
      <c r="C99" s="11">
        <v>1004249</v>
      </c>
      <c r="D99" s="11" t="s">
        <v>11</v>
      </c>
      <c r="E99" s="11" t="s">
        <v>22</v>
      </c>
      <c r="F99" s="11">
        <v>722.4</v>
      </c>
      <c r="G99" s="11">
        <v>562783832</v>
      </c>
      <c r="H99" s="11">
        <v>3</v>
      </c>
      <c r="I99" s="11">
        <f>SalesData[[#This Row],[Price]]*SalesData[[#This Row],[Quantity]]</f>
        <v>2167.1999999999998</v>
      </c>
      <c r="J99" s="11" t="str">
        <f t="shared" si="1"/>
        <v>Medium</v>
      </c>
      <c r="K99" s="21" t="s">
        <v>290</v>
      </c>
    </row>
    <row r="100" spans="1:11">
      <c r="A100" s="10">
        <v>43778</v>
      </c>
      <c r="B100" s="11" t="s">
        <v>9</v>
      </c>
      <c r="C100" s="11">
        <v>1004249</v>
      </c>
      <c r="D100" s="11" t="s">
        <v>11</v>
      </c>
      <c r="E100" s="11" t="s">
        <v>22</v>
      </c>
      <c r="F100" s="11">
        <v>722.4</v>
      </c>
      <c r="G100" s="11">
        <v>515884433</v>
      </c>
      <c r="H100" s="11">
        <v>2</v>
      </c>
      <c r="I100" s="11">
        <f>SalesData[[#This Row],[Price]]*SalesData[[#This Row],[Quantity]]</f>
        <v>1444.8</v>
      </c>
      <c r="J100" s="11" t="str">
        <f t="shared" si="1"/>
        <v>Medium</v>
      </c>
      <c r="K100" s="21" t="s">
        <v>290</v>
      </c>
    </row>
    <row r="101" spans="1:11">
      <c r="A101" s="10">
        <v>43773</v>
      </c>
      <c r="B101" s="11" t="s">
        <v>9</v>
      </c>
      <c r="C101" s="11">
        <v>1004249</v>
      </c>
      <c r="D101" s="11" t="s">
        <v>11</v>
      </c>
      <c r="E101" s="11" t="s">
        <v>22</v>
      </c>
      <c r="F101" s="11">
        <v>722.4</v>
      </c>
      <c r="G101" s="11">
        <v>540806097</v>
      </c>
      <c r="H101" s="11">
        <v>4</v>
      </c>
      <c r="I101" s="11">
        <f>SalesData[[#This Row],[Price]]*SalesData[[#This Row],[Quantity]]</f>
        <v>2889.6</v>
      </c>
      <c r="J101" s="11" t="str">
        <f t="shared" si="1"/>
        <v>Medium</v>
      </c>
      <c r="K101" s="21" t="s">
        <v>290</v>
      </c>
    </row>
    <row r="102" spans="1:11">
      <c r="A102" s="10">
        <v>43783</v>
      </c>
      <c r="B102" s="11" t="s">
        <v>9</v>
      </c>
      <c r="C102" s="11">
        <v>1004249</v>
      </c>
      <c r="D102" s="11" t="s">
        <v>11</v>
      </c>
      <c r="E102" s="11" t="s">
        <v>22</v>
      </c>
      <c r="F102" s="11">
        <v>722.4</v>
      </c>
      <c r="G102" s="11">
        <v>513667800</v>
      </c>
      <c r="H102" s="11">
        <v>2</v>
      </c>
      <c r="I102" s="11">
        <f>SalesData[[#This Row],[Price]]*SalesData[[#This Row],[Quantity]]</f>
        <v>1444.8</v>
      </c>
      <c r="J102" s="11" t="str">
        <f t="shared" si="1"/>
        <v>Medium</v>
      </c>
      <c r="K102" s="21" t="s">
        <v>290</v>
      </c>
    </row>
    <row r="103" spans="1:11">
      <c r="A103" s="10">
        <v>43778</v>
      </c>
      <c r="B103" s="11" t="s">
        <v>9</v>
      </c>
      <c r="C103" s="11">
        <v>1004249</v>
      </c>
      <c r="D103" s="11" t="s">
        <v>11</v>
      </c>
      <c r="E103" s="11" t="s">
        <v>22</v>
      </c>
      <c r="F103" s="11">
        <v>722.4</v>
      </c>
      <c r="G103" s="11">
        <v>542836905</v>
      </c>
      <c r="H103" s="11">
        <v>3</v>
      </c>
      <c r="I103" s="11">
        <f>SalesData[[#This Row],[Price]]*SalesData[[#This Row],[Quantity]]</f>
        <v>2167.1999999999998</v>
      </c>
      <c r="J103" s="11" t="str">
        <f t="shared" si="1"/>
        <v>Medium</v>
      </c>
      <c r="K103" s="21" t="s">
        <v>290</v>
      </c>
    </row>
    <row r="104" spans="1:11">
      <c r="A104" s="10">
        <v>43770</v>
      </c>
      <c r="B104" s="11" t="s">
        <v>9</v>
      </c>
      <c r="C104" s="11">
        <v>1004249</v>
      </c>
      <c r="D104" s="11" t="s">
        <v>11</v>
      </c>
      <c r="E104" s="11" t="s">
        <v>22</v>
      </c>
      <c r="F104" s="11">
        <v>722.4</v>
      </c>
      <c r="G104" s="11">
        <v>563226983</v>
      </c>
      <c r="H104" s="11">
        <v>4</v>
      </c>
      <c r="I104" s="11">
        <f>SalesData[[#This Row],[Price]]*SalesData[[#This Row],[Quantity]]</f>
        <v>2889.6</v>
      </c>
      <c r="J104" s="11" t="str">
        <f t="shared" si="1"/>
        <v>Medium</v>
      </c>
      <c r="K104" s="21" t="s">
        <v>290</v>
      </c>
    </row>
    <row r="105" spans="1:11">
      <c r="A105" s="10">
        <v>43771</v>
      </c>
      <c r="B105" s="11" t="s">
        <v>9</v>
      </c>
      <c r="C105" s="11">
        <v>1004249</v>
      </c>
      <c r="D105" s="11" t="s">
        <v>11</v>
      </c>
      <c r="E105" s="11" t="s">
        <v>22</v>
      </c>
      <c r="F105" s="11">
        <v>722.4</v>
      </c>
      <c r="G105" s="11">
        <v>518618772</v>
      </c>
      <c r="H105" s="11">
        <v>5</v>
      </c>
      <c r="I105" s="11">
        <f>SalesData[[#This Row],[Price]]*SalesData[[#This Row],[Quantity]]</f>
        <v>3612</v>
      </c>
      <c r="J105" s="11" t="str">
        <f t="shared" si="1"/>
        <v>Medium</v>
      </c>
      <c r="K105" s="21" t="s">
        <v>290</v>
      </c>
    </row>
    <row r="106" spans="1:11">
      <c r="A106" s="10">
        <v>43784</v>
      </c>
      <c r="B106" s="11" t="s">
        <v>9</v>
      </c>
      <c r="C106" s="11">
        <v>1004249</v>
      </c>
      <c r="D106" s="11" t="s">
        <v>11</v>
      </c>
      <c r="E106" s="11" t="s">
        <v>22</v>
      </c>
      <c r="F106" s="11">
        <v>722.4</v>
      </c>
      <c r="G106" s="11">
        <v>514862645</v>
      </c>
      <c r="H106" s="11">
        <v>1</v>
      </c>
      <c r="I106" s="11">
        <f>SalesData[[#This Row],[Price]]*SalesData[[#This Row],[Quantity]]</f>
        <v>722.4</v>
      </c>
      <c r="J106" s="11" t="str">
        <f t="shared" si="1"/>
        <v>Medium</v>
      </c>
      <c r="K106" s="21" t="s">
        <v>290</v>
      </c>
    </row>
    <row r="107" spans="1:11">
      <c r="A107" s="10">
        <v>43782</v>
      </c>
      <c r="B107" s="11" t="s">
        <v>9</v>
      </c>
      <c r="C107" s="11">
        <v>1004249</v>
      </c>
      <c r="D107" s="11" t="s">
        <v>11</v>
      </c>
      <c r="E107" s="11" t="s">
        <v>22</v>
      </c>
      <c r="F107" s="11">
        <v>722.4</v>
      </c>
      <c r="G107" s="11">
        <v>530382924</v>
      </c>
      <c r="H107" s="11">
        <v>4</v>
      </c>
      <c r="I107" s="11">
        <f>SalesData[[#This Row],[Price]]*SalesData[[#This Row],[Quantity]]</f>
        <v>2889.6</v>
      </c>
      <c r="J107" s="11" t="str">
        <f t="shared" si="1"/>
        <v>Medium</v>
      </c>
      <c r="K107" s="21" t="s">
        <v>290</v>
      </c>
    </row>
    <row r="108" spans="1:11">
      <c r="A108" s="10">
        <v>43774</v>
      </c>
      <c r="B108" s="11" t="s">
        <v>9</v>
      </c>
      <c r="C108" s="11">
        <v>1004249</v>
      </c>
      <c r="D108" s="11" t="s">
        <v>11</v>
      </c>
      <c r="E108" s="11" t="s">
        <v>22</v>
      </c>
      <c r="F108" s="11">
        <v>722.4</v>
      </c>
      <c r="G108" s="11">
        <v>550864895</v>
      </c>
      <c r="H108" s="11">
        <v>3</v>
      </c>
      <c r="I108" s="11">
        <f>SalesData[[#This Row],[Price]]*SalesData[[#This Row],[Quantity]]</f>
        <v>2167.1999999999998</v>
      </c>
      <c r="J108" s="11" t="str">
        <f t="shared" si="1"/>
        <v>Medium</v>
      </c>
      <c r="K108" s="21" t="s">
        <v>290</v>
      </c>
    </row>
    <row r="109" spans="1:11">
      <c r="A109" s="10">
        <v>43782</v>
      </c>
      <c r="B109" s="11" t="s">
        <v>9</v>
      </c>
      <c r="C109" s="11">
        <v>1004249</v>
      </c>
      <c r="D109" s="11" t="s">
        <v>11</v>
      </c>
      <c r="E109" s="11" t="s">
        <v>22</v>
      </c>
      <c r="F109" s="11">
        <v>722.4</v>
      </c>
      <c r="G109" s="11">
        <v>562119164</v>
      </c>
      <c r="H109" s="11">
        <v>5</v>
      </c>
      <c r="I109" s="11">
        <f>SalesData[[#This Row],[Price]]*SalesData[[#This Row],[Quantity]]</f>
        <v>3612</v>
      </c>
      <c r="J109" s="11" t="str">
        <f t="shared" si="1"/>
        <v>Medium</v>
      </c>
      <c r="K109" s="21" t="s">
        <v>290</v>
      </c>
    </row>
    <row r="110" spans="1:11">
      <c r="A110" s="10">
        <v>43783</v>
      </c>
      <c r="B110" s="11" t="s">
        <v>9</v>
      </c>
      <c r="C110" s="11">
        <v>1004249</v>
      </c>
      <c r="D110" s="11" t="s">
        <v>11</v>
      </c>
      <c r="E110" s="11" t="s">
        <v>22</v>
      </c>
      <c r="F110" s="11">
        <v>722.4</v>
      </c>
      <c r="G110" s="11">
        <v>533365442</v>
      </c>
      <c r="H110" s="11">
        <v>1</v>
      </c>
      <c r="I110" s="11">
        <f>SalesData[[#This Row],[Price]]*SalesData[[#This Row],[Quantity]]</f>
        <v>722.4</v>
      </c>
      <c r="J110" s="11" t="str">
        <f t="shared" si="1"/>
        <v>Medium</v>
      </c>
      <c r="K110" s="21" t="s">
        <v>290</v>
      </c>
    </row>
    <row r="111" spans="1:11">
      <c r="A111" s="10">
        <v>43780</v>
      </c>
      <c r="B111" s="11" t="s">
        <v>9</v>
      </c>
      <c r="C111" s="11">
        <v>1004249</v>
      </c>
      <c r="D111" s="11" t="s">
        <v>11</v>
      </c>
      <c r="E111" s="11" t="s">
        <v>22</v>
      </c>
      <c r="F111" s="11">
        <v>722.4</v>
      </c>
      <c r="G111" s="11">
        <v>520097057</v>
      </c>
      <c r="H111" s="11">
        <v>2</v>
      </c>
      <c r="I111" s="11">
        <f>SalesData[[#This Row],[Price]]*SalesData[[#This Row],[Quantity]]</f>
        <v>1444.8</v>
      </c>
      <c r="J111" s="11" t="str">
        <f t="shared" si="1"/>
        <v>Medium</v>
      </c>
      <c r="K111" s="21" t="s">
        <v>290</v>
      </c>
    </row>
    <row r="112" spans="1:11">
      <c r="A112" s="10">
        <v>43773</v>
      </c>
      <c r="B112" s="11" t="s">
        <v>9</v>
      </c>
      <c r="C112" s="11">
        <v>1004249</v>
      </c>
      <c r="D112" s="11" t="s">
        <v>11</v>
      </c>
      <c r="E112" s="11" t="s">
        <v>22</v>
      </c>
      <c r="F112" s="11">
        <v>722.4</v>
      </c>
      <c r="G112" s="11">
        <v>519468511</v>
      </c>
      <c r="H112" s="11">
        <v>1</v>
      </c>
      <c r="I112" s="11">
        <f>SalesData[[#This Row],[Price]]*SalesData[[#This Row],[Quantity]]</f>
        <v>722.4</v>
      </c>
      <c r="J112" s="11" t="str">
        <f t="shared" si="1"/>
        <v>Medium</v>
      </c>
      <c r="K112" s="21" t="s">
        <v>290</v>
      </c>
    </row>
    <row r="113" spans="1:11">
      <c r="A113" s="10">
        <v>43780</v>
      </c>
      <c r="B113" s="11" t="s">
        <v>9</v>
      </c>
      <c r="C113" s="11">
        <v>1004249</v>
      </c>
      <c r="D113" s="11" t="s">
        <v>11</v>
      </c>
      <c r="E113" s="11" t="s">
        <v>22</v>
      </c>
      <c r="F113" s="11">
        <v>722.4</v>
      </c>
      <c r="G113" s="11">
        <v>531160085</v>
      </c>
      <c r="H113" s="11">
        <v>4</v>
      </c>
      <c r="I113" s="11">
        <f>SalesData[[#This Row],[Price]]*SalesData[[#This Row],[Quantity]]</f>
        <v>2889.6</v>
      </c>
      <c r="J113" s="11" t="str">
        <f t="shared" si="1"/>
        <v>Medium</v>
      </c>
      <c r="K113" s="21" t="s">
        <v>290</v>
      </c>
    </row>
    <row r="114" spans="1:11">
      <c r="A114" s="10">
        <v>43772</v>
      </c>
      <c r="B114" s="11" t="s">
        <v>9</v>
      </c>
      <c r="C114" s="11">
        <v>1004249</v>
      </c>
      <c r="D114" s="11" t="s">
        <v>11</v>
      </c>
      <c r="E114" s="11" t="s">
        <v>22</v>
      </c>
      <c r="F114" s="11">
        <v>722.4</v>
      </c>
      <c r="G114" s="11">
        <v>519468511</v>
      </c>
      <c r="H114" s="11">
        <v>4</v>
      </c>
      <c r="I114" s="11">
        <f>SalesData[[#This Row],[Price]]*SalesData[[#This Row],[Quantity]]</f>
        <v>2889.6</v>
      </c>
      <c r="J114" s="11" t="str">
        <f t="shared" si="1"/>
        <v>Medium</v>
      </c>
      <c r="K114" s="21" t="s">
        <v>290</v>
      </c>
    </row>
    <row r="115" spans="1:11">
      <c r="A115" s="10">
        <v>43781</v>
      </c>
      <c r="B115" s="11" t="s">
        <v>9</v>
      </c>
      <c r="C115" s="11">
        <v>1004249</v>
      </c>
      <c r="D115" s="11" t="s">
        <v>11</v>
      </c>
      <c r="E115" s="11" t="s">
        <v>22</v>
      </c>
      <c r="F115" s="11">
        <v>722.4</v>
      </c>
      <c r="G115" s="11">
        <v>548422139</v>
      </c>
      <c r="H115" s="11">
        <v>1</v>
      </c>
      <c r="I115" s="11">
        <f>SalesData[[#This Row],[Price]]*SalesData[[#This Row],[Quantity]]</f>
        <v>722.4</v>
      </c>
      <c r="J115" s="11" t="str">
        <f t="shared" si="1"/>
        <v>Medium</v>
      </c>
      <c r="K115" s="21" t="s">
        <v>290</v>
      </c>
    </row>
    <row r="116" spans="1:11">
      <c r="A116" s="10">
        <v>43777</v>
      </c>
      <c r="B116" s="11" t="s">
        <v>9</v>
      </c>
      <c r="C116" s="11">
        <v>1004249</v>
      </c>
      <c r="D116" s="11" t="s">
        <v>11</v>
      </c>
      <c r="E116" s="11" t="s">
        <v>22</v>
      </c>
      <c r="F116" s="11">
        <v>722.4</v>
      </c>
      <c r="G116" s="11">
        <v>518618224</v>
      </c>
      <c r="H116" s="11">
        <v>5</v>
      </c>
      <c r="I116" s="11">
        <f>SalesData[[#This Row],[Price]]*SalesData[[#This Row],[Quantity]]</f>
        <v>3612</v>
      </c>
      <c r="J116" s="11" t="str">
        <f t="shared" si="1"/>
        <v>Medium</v>
      </c>
      <c r="K116" s="21" t="s">
        <v>290</v>
      </c>
    </row>
    <row r="117" spans="1:11">
      <c r="A117" s="10">
        <v>43778</v>
      </c>
      <c r="B117" s="11" t="s">
        <v>9</v>
      </c>
      <c r="C117" s="11">
        <v>1003304</v>
      </c>
      <c r="D117" s="11" t="s">
        <v>11</v>
      </c>
      <c r="E117" s="11" t="s">
        <v>22</v>
      </c>
      <c r="F117" s="11">
        <v>591.25</v>
      </c>
      <c r="G117" s="11">
        <v>566297736</v>
      </c>
      <c r="H117" s="11">
        <v>2</v>
      </c>
      <c r="I117" s="11">
        <f>SalesData[[#This Row],[Price]]*SalesData[[#This Row],[Quantity]]</f>
        <v>1182.5</v>
      </c>
      <c r="J117" s="11" t="str">
        <f t="shared" si="1"/>
        <v>Medium</v>
      </c>
      <c r="K117" s="21" t="s">
        <v>290</v>
      </c>
    </row>
    <row r="118" spans="1:11">
      <c r="A118" s="10">
        <v>43780</v>
      </c>
      <c r="B118" s="11" t="s">
        <v>9</v>
      </c>
      <c r="C118" s="11">
        <v>1003304</v>
      </c>
      <c r="D118" s="11" t="s">
        <v>11</v>
      </c>
      <c r="E118" s="11" t="s">
        <v>22</v>
      </c>
      <c r="F118" s="11">
        <v>591.25</v>
      </c>
      <c r="G118" s="11">
        <v>565366577</v>
      </c>
      <c r="H118" s="11">
        <v>4</v>
      </c>
      <c r="I118" s="11">
        <f>SalesData[[#This Row],[Price]]*SalesData[[#This Row],[Quantity]]</f>
        <v>2365</v>
      </c>
      <c r="J118" s="11" t="str">
        <f t="shared" si="1"/>
        <v>Medium</v>
      </c>
      <c r="K118" s="21" t="s">
        <v>290</v>
      </c>
    </row>
    <row r="119" spans="1:11">
      <c r="A119" s="10">
        <v>43772</v>
      </c>
      <c r="B119" s="11" t="s">
        <v>9</v>
      </c>
      <c r="C119" s="11">
        <v>1003306</v>
      </c>
      <c r="D119" s="11" t="s">
        <v>11</v>
      </c>
      <c r="E119" s="11" t="s">
        <v>22</v>
      </c>
      <c r="F119" s="11">
        <v>577.89</v>
      </c>
      <c r="G119" s="11">
        <v>514020126</v>
      </c>
      <c r="H119" s="11">
        <v>5</v>
      </c>
      <c r="I119" s="11">
        <f>SalesData[[#This Row],[Price]]*SalesData[[#This Row],[Quantity]]</f>
        <v>2889.45</v>
      </c>
      <c r="J119" s="11" t="str">
        <f t="shared" si="1"/>
        <v>Medium</v>
      </c>
      <c r="K119" s="21" t="s">
        <v>290</v>
      </c>
    </row>
    <row r="120" spans="1:11">
      <c r="A120" s="10">
        <v>43775</v>
      </c>
      <c r="B120" s="11" t="s">
        <v>9</v>
      </c>
      <c r="C120" s="11">
        <v>1003306</v>
      </c>
      <c r="D120" s="11" t="s">
        <v>11</v>
      </c>
      <c r="E120" s="11" t="s">
        <v>22</v>
      </c>
      <c r="F120" s="11">
        <v>577.89</v>
      </c>
      <c r="G120" s="11">
        <v>512452645</v>
      </c>
      <c r="H120" s="11">
        <v>1</v>
      </c>
      <c r="I120" s="11">
        <f>SalesData[[#This Row],[Price]]*SalesData[[#This Row],[Quantity]]</f>
        <v>577.89</v>
      </c>
      <c r="J120" s="11" t="str">
        <f t="shared" si="1"/>
        <v>Medium</v>
      </c>
      <c r="K120" s="21" t="s">
        <v>290</v>
      </c>
    </row>
    <row r="121" spans="1:11">
      <c r="A121" s="10">
        <v>43772</v>
      </c>
      <c r="B121" s="11" t="s">
        <v>9</v>
      </c>
      <c r="C121" s="11">
        <v>1003306</v>
      </c>
      <c r="D121" s="11" t="s">
        <v>11</v>
      </c>
      <c r="E121" s="11" t="s">
        <v>22</v>
      </c>
      <c r="F121" s="11">
        <v>577.89</v>
      </c>
      <c r="G121" s="11">
        <v>554982396</v>
      </c>
      <c r="H121" s="11">
        <v>5</v>
      </c>
      <c r="I121" s="11">
        <f>SalesData[[#This Row],[Price]]*SalesData[[#This Row],[Quantity]]</f>
        <v>2889.45</v>
      </c>
      <c r="J121" s="11" t="str">
        <f t="shared" si="1"/>
        <v>Medium</v>
      </c>
      <c r="K121" s="21" t="s">
        <v>290</v>
      </c>
    </row>
    <row r="122" spans="1:11">
      <c r="A122" s="10">
        <v>43777</v>
      </c>
      <c r="B122" s="11" t="s">
        <v>9</v>
      </c>
      <c r="C122" s="11">
        <v>1003306</v>
      </c>
      <c r="D122" s="11" t="s">
        <v>11</v>
      </c>
      <c r="E122" s="11" t="s">
        <v>22</v>
      </c>
      <c r="F122" s="11">
        <v>577.89</v>
      </c>
      <c r="G122" s="11">
        <v>512907720</v>
      </c>
      <c r="H122" s="11">
        <v>1</v>
      </c>
      <c r="I122" s="11">
        <f>SalesData[[#This Row],[Price]]*SalesData[[#This Row],[Quantity]]</f>
        <v>577.89</v>
      </c>
      <c r="J122" s="11" t="str">
        <f t="shared" si="1"/>
        <v>Medium</v>
      </c>
      <c r="K122" s="21" t="s">
        <v>290</v>
      </c>
    </row>
    <row r="123" spans="1:11">
      <c r="A123" s="10">
        <v>43781</v>
      </c>
      <c r="B123" s="11" t="s">
        <v>9</v>
      </c>
      <c r="C123" s="11">
        <v>1003306</v>
      </c>
      <c r="D123" s="11" t="s">
        <v>11</v>
      </c>
      <c r="E123" s="11" t="s">
        <v>22</v>
      </c>
      <c r="F123" s="11">
        <v>577.89</v>
      </c>
      <c r="G123" s="11">
        <v>536034247</v>
      </c>
      <c r="H123" s="11">
        <v>2</v>
      </c>
      <c r="I123" s="11">
        <f>SalesData[[#This Row],[Price]]*SalesData[[#This Row],[Quantity]]</f>
        <v>1155.78</v>
      </c>
      <c r="J123" s="11" t="str">
        <f t="shared" si="1"/>
        <v>Medium</v>
      </c>
      <c r="K123" s="21" t="s">
        <v>290</v>
      </c>
    </row>
    <row r="124" spans="1:11">
      <c r="A124" s="10">
        <v>43772</v>
      </c>
      <c r="B124" s="11" t="s">
        <v>9</v>
      </c>
      <c r="C124" s="11">
        <v>1003306</v>
      </c>
      <c r="D124" s="11" t="s">
        <v>11</v>
      </c>
      <c r="E124" s="11" t="s">
        <v>22</v>
      </c>
      <c r="F124" s="11">
        <v>577.89</v>
      </c>
      <c r="G124" s="11">
        <v>533365442</v>
      </c>
      <c r="H124" s="11">
        <v>4</v>
      </c>
      <c r="I124" s="11">
        <f>SalesData[[#This Row],[Price]]*SalesData[[#This Row],[Quantity]]</f>
        <v>2311.56</v>
      </c>
      <c r="J124" s="11" t="str">
        <f t="shared" si="1"/>
        <v>Medium</v>
      </c>
      <c r="K124" s="21" t="s">
        <v>290</v>
      </c>
    </row>
    <row r="125" spans="1:11">
      <c r="A125" s="10">
        <v>43777</v>
      </c>
      <c r="B125" s="11" t="s">
        <v>9</v>
      </c>
      <c r="C125" s="11">
        <v>1002536</v>
      </c>
      <c r="D125" s="11" t="s">
        <v>11</v>
      </c>
      <c r="E125" s="11" t="s">
        <v>22</v>
      </c>
      <c r="F125" s="11">
        <v>566.04</v>
      </c>
      <c r="G125" s="11">
        <v>556564018</v>
      </c>
      <c r="H125" s="11">
        <v>1</v>
      </c>
      <c r="I125" s="11">
        <f>SalesData[[#This Row],[Price]]*SalesData[[#This Row],[Quantity]]</f>
        <v>566.04</v>
      </c>
      <c r="J125" s="11" t="str">
        <f t="shared" si="1"/>
        <v>Medium</v>
      </c>
      <c r="K125" s="21" t="s">
        <v>290</v>
      </c>
    </row>
    <row r="126" spans="1:11">
      <c r="A126" s="10">
        <v>43770</v>
      </c>
      <c r="B126" s="11" t="s">
        <v>9</v>
      </c>
      <c r="C126" s="11">
        <v>1002532</v>
      </c>
      <c r="D126" s="11" t="s">
        <v>11</v>
      </c>
      <c r="E126" s="11" t="s">
        <v>22</v>
      </c>
      <c r="F126" s="11">
        <v>532.57000000000005</v>
      </c>
      <c r="G126" s="11">
        <v>566281998</v>
      </c>
      <c r="H126" s="11">
        <v>5</v>
      </c>
      <c r="I126" s="11">
        <f>SalesData[[#This Row],[Price]]*SalesData[[#This Row],[Quantity]]</f>
        <v>2662.8500000000004</v>
      </c>
      <c r="J126" s="11" t="str">
        <f t="shared" si="1"/>
        <v>Medium</v>
      </c>
      <c r="K126" s="21" t="s">
        <v>290</v>
      </c>
    </row>
    <row r="127" spans="1:11">
      <c r="A127" s="10">
        <v>43770</v>
      </c>
      <c r="B127" s="11" t="s">
        <v>9</v>
      </c>
      <c r="C127" s="11">
        <v>8500142</v>
      </c>
      <c r="D127" s="11" t="s">
        <v>235</v>
      </c>
      <c r="E127" s="11" t="s">
        <v>109</v>
      </c>
      <c r="F127" s="11">
        <v>709.93</v>
      </c>
      <c r="G127" s="11">
        <v>558705860</v>
      </c>
      <c r="H127" s="11">
        <v>4</v>
      </c>
      <c r="I127" s="11">
        <f>SalesData[[#This Row],[Price]]*SalesData[[#This Row],[Quantity]]</f>
        <v>2839.72</v>
      </c>
      <c r="J127" s="11" t="str">
        <f t="shared" si="1"/>
        <v>Medium</v>
      </c>
      <c r="K127" s="21" t="s">
        <v>235</v>
      </c>
    </row>
    <row r="128" spans="1:11">
      <c r="A128" s="10">
        <v>43780</v>
      </c>
      <c r="B128" s="11" t="s">
        <v>9</v>
      </c>
      <c r="C128" s="11">
        <v>8500142</v>
      </c>
      <c r="D128" s="11" t="s">
        <v>235</v>
      </c>
      <c r="E128" s="11" t="s">
        <v>109</v>
      </c>
      <c r="F128" s="11">
        <v>709.93</v>
      </c>
      <c r="G128" s="11">
        <v>558705860</v>
      </c>
      <c r="H128" s="11">
        <v>2</v>
      </c>
      <c r="I128" s="11">
        <f>SalesData[[#This Row],[Price]]*SalesData[[#This Row],[Quantity]]</f>
        <v>1419.86</v>
      </c>
      <c r="J128" s="11" t="str">
        <f t="shared" si="1"/>
        <v>Medium</v>
      </c>
      <c r="K128" s="21" t="s">
        <v>235</v>
      </c>
    </row>
    <row r="129" spans="1:11">
      <c r="A129" s="10">
        <v>43780</v>
      </c>
      <c r="B129" s="11" t="s">
        <v>9</v>
      </c>
      <c r="C129" s="11">
        <v>26300188</v>
      </c>
      <c r="D129" s="11" t="s">
        <v>235</v>
      </c>
      <c r="E129" s="11" t="s">
        <v>14</v>
      </c>
      <c r="F129" s="11">
        <v>709.67</v>
      </c>
      <c r="G129" s="11">
        <v>561157770</v>
      </c>
      <c r="H129" s="11">
        <v>5</v>
      </c>
      <c r="I129" s="11">
        <f>SalesData[[#This Row],[Price]]*SalesData[[#This Row],[Quantity]]</f>
        <v>3548.35</v>
      </c>
      <c r="J129" s="11" t="str">
        <f t="shared" si="1"/>
        <v>Medium</v>
      </c>
      <c r="K129" s="21" t="s">
        <v>235</v>
      </c>
    </row>
    <row r="130" spans="1:11">
      <c r="A130" s="10">
        <v>43779</v>
      </c>
      <c r="B130" s="11" t="s">
        <v>9</v>
      </c>
      <c r="C130" s="11">
        <v>1307073</v>
      </c>
      <c r="D130" s="11" t="s">
        <v>69</v>
      </c>
      <c r="E130" s="11" t="s">
        <v>94</v>
      </c>
      <c r="F130" s="11">
        <v>682.09</v>
      </c>
      <c r="G130" s="11">
        <v>558698483</v>
      </c>
      <c r="H130" s="11">
        <v>5</v>
      </c>
      <c r="I130" s="11">
        <f>SalesData[[#This Row],[Price]]*SalesData[[#This Row],[Quantity]]</f>
        <v>3410.4500000000003</v>
      </c>
      <c r="J130" s="11" t="str">
        <f t="shared" ref="J130:J193" si="2">IF(F130&lt;500, "Low", IF(F130&lt;1500, "Medium", "High"))</f>
        <v>Medium</v>
      </c>
      <c r="K130" s="21" t="s">
        <v>291</v>
      </c>
    </row>
    <row r="131" spans="1:11">
      <c r="A131" s="10">
        <v>43778</v>
      </c>
      <c r="B131" s="11" t="s">
        <v>9</v>
      </c>
      <c r="C131" s="11">
        <v>1002532</v>
      </c>
      <c r="D131" s="11" t="s">
        <v>11</v>
      </c>
      <c r="E131" s="11" t="s">
        <v>22</v>
      </c>
      <c r="F131" s="11">
        <v>532.57000000000005</v>
      </c>
      <c r="G131" s="11">
        <v>565437026</v>
      </c>
      <c r="H131" s="11">
        <v>3</v>
      </c>
      <c r="I131" s="11">
        <f>SalesData[[#This Row],[Price]]*SalesData[[#This Row],[Quantity]]</f>
        <v>1597.71</v>
      </c>
      <c r="J131" s="11" t="str">
        <f t="shared" si="2"/>
        <v>Medium</v>
      </c>
      <c r="K131" s="21" t="s">
        <v>290</v>
      </c>
    </row>
    <row r="132" spans="1:11">
      <c r="A132" s="10">
        <v>43783</v>
      </c>
      <c r="B132" s="11" t="s">
        <v>9</v>
      </c>
      <c r="C132" s="11">
        <v>26300104</v>
      </c>
      <c r="D132" s="11" t="s">
        <v>235</v>
      </c>
      <c r="E132" s="11" t="s">
        <v>14</v>
      </c>
      <c r="F132" s="11">
        <v>642.23</v>
      </c>
      <c r="G132" s="11">
        <v>559835882</v>
      </c>
      <c r="H132" s="11">
        <v>1</v>
      </c>
      <c r="I132" s="11">
        <f>SalesData[[#This Row],[Price]]*SalesData[[#This Row],[Quantity]]</f>
        <v>642.23</v>
      </c>
      <c r="J132" s="11" t="str">
        <f t="shared" si="2"/>
        <v>Medium</v>
      </c>
      <c r="K132" s="21" t="s">
        <v>235</v>
      </c>
    </row>
    <row r="133" spans="1:11">
      <c r="A133" s="10">
        <v>43775</v>
      </c>
      <c r="B133" s="11" t="s">
        <v>9</v>
      </c>
      <c r="C133" s="11">
        <v>1002524</v>
      </c>
      <c r="D133" s="11" t="s">
        <v>11</v>
      </c>
      <c r="E133" s="11" t="s">
        <v>22</v>
      </c>
      <c r="F133" s="11">
        <v>531.26</v>
      </c>
      <c r="G133" s="11">
        <v>549256216</v>
      </c>
      <c r="H133" s="11">
        <v>5</v>
      </c>
      <c r="I133" s="11">
        <f>SalesData[[#This Row],[Price]]*SalesData[[#This Row],[Quantity]]</f>
        <v>2656.3</v>
      </c>
      <c r="J133" s="11" t="str">
        <f t="shared" si="2"/>
        <v>Medium</v>
      </c>
      <c r="K133" s="21" t="s">
        <v>290</v>
      </c>
    </row>
    <row r="134" spans="1:11">
      <c r="A134" s="10">
        <v>43777</v>
      </c>
      <c r="B134" s="11" t="s">
        <v>9</v>
      </c>
      <c r="C134" s="11">
        <v>1002524</v>
      </c>
      <c r="D134" s="11" t="s">
        <v>11</v>
      </c>
      <c r="E134" s="11" t="s">
        <v>22</v>
      </c>
      <c r="F134" s="11">
        <v>531.26</v>
      </c>
      <c r="G134" s="11">
        <v>518277746</v>
      </c>
      <c r="H134" s="11">
        <v>3</v>
      </c>
      <c r="I134" s="11">
        <f>SalesData[[#This Row],[Price]]*SalesData[[#This Row],[Quantity]]</f>
        <v>1593.78</v>
      </c>
      <c r="J134" s="11" t="str">
        <f t="shared" si="2"/>
        <v>Medium</v>
      </c>
      <c r="K134" s="21" t="s">
        <v>290</v>
      </c>
    </row>
    <row r="135" spans="1:11">
      <c r="A135" s="10">
        <v>43778</v>
      </c>
      <c r="B135" s="11" t="s">
        <v>9</v>
      </c>
      <c r="C135" s="11">
        <v>1002524</v>
      </c>
      <c r="D135" s="11" t="s">
        <v>11</v>
      </c>
      <c r="E135" s="11" t="s">
        <v>22</v>
      </c>
      <c r="F135" s="11">
        <v>531.26</v>
      </c>
      <c r="G135" s="11">
        <v>566301357</v>
      </c>
      <c r="H135" s="11">
        <v>3</v>
      </c>
      <c r="I135" s="11">
        <f>SalesData[[#This Row],[Price]]*SalesData[[#This Row],[Quantity]]</f>
        <v>1593.78</v>
      </c>
      <c r="J135" s="11" t="str">
        <f t="shared" si="2"/>
        <v>Medium</v>
      </c>
      <c r="K135" s="21" t="s">
        <v>290</v>
      </c>
    </row>
    <row r="136" spans="1:11">
      <c r="A136" s="10">
        <v>43774</v>
      </c>
      <c r="B136" s="11" t="s">
        <v>9</v>
      </c>
      <c r="C136" s="11">
        <v>1002524</v>
      </c>
      <c r="D136" s="11" t="s">
        <v>11</v>
      </c>
      <c r="E136" s="11" t="s">
        <v>22</v>
      </c>
      <c r="F136" s="11">
        <v>531.26</v>
      </c>
      <c r="G136" s="11">
        <v>538524222</v>
      </c>
      <c r="H136" s="11">
        <v>4</v>
      </c>
      <c r="I136" s="11">
        <f>SalesData[[#This Row],[Price]]*SalesData[[#This Row],[Quantity]]</f>
        <v>2125.04</v>
      </c>
      <c r="J136" s="11" t="str">
        <f t="shared" si="2"/>
        <v>Medium</v>
      </c>
      <c r="K136" s="21" t="s">
        <v>290</v>
      </c>
    </row>
    <row r="137" spans="1:11">
      <c r="A137" s="10">
        <v>43772</v>
      </c>
      <c r="B137" s="11" t="s">
        <v>9</v>
      </c>
      <c r="C137" s="11">
        <v>1002540</v>
      </c>
      <c r="D137" s="11" t="s">
        <v>11</v>
      </c>
      <c r="E137" s="11" t="s">
        <v>22</v>
      </c>
      <c r="F137" s="11">
        <v>465.91</v>
      </c>
      <c r="G137" s="11">
        <v>556325945</v>
      </c>
      <c r="H137" s="11">
        <v>4</v>
      </c>
      <c r="I137" s="11">
        <f>SalesData[[#This Row],[Price]]*SalesData[[#This Row],[Quantity]]</f>
        <v>1863.64</v>
      </c>
      <c r="J137" s="11" t="str">
        <f t="shared" si="2"/>
        <v>Low</v>
      </c>
      <c r="K137" s="21" t="s">
        <v>290</v>
      </c>
    </row>
    <row r="138" spans="1:11">
      <c r="A138" s="10">
        <v>43782</v>
      </c>
      <c r="B138" s="11" t="s">
        <v>9</v>
      </c>
      <c r="C138" s="11">
        <v>1002547</v>
      </c>
      <c r="D138" s="11" t="s">
        <v>11</v>
      </c>
      <c r="E138" s="11" t="s">
        <v>22</v>
      </c>
      <c r="F138" s="11">
        <v>465.91</v>
      </c>
      <c r="G138" s="11">
        <v>565437026</v>
      </c>
      <c r="H138" s="11">
        <v>4</v>
      </c>
      <c r="I138" s="11">
        <f>SalesData[[#This Row],[Price]]*SalesData[[#This Row],[Quantity]]</f>
        <v>1863.64</v>
      </c>
      <c r="J138" s="11" t="str">
        <f t="shared" si="2"/>
        <v>Low</v>
      </c>
      <c r="K138" s="21" t="s">
        <v>290</v>
      </c>
    </row>
    <row r="139" spans="1:11">
      <c r="A139" s="10">
        <v>43781</v>
      </c>
      <c r="B139" s="11" t="s">
        <v>9</v>
      </c>
      <c r="C139" s="11">
        <v>1002544</v>
      </c>
      <c r="D139" s="11" t="s">
        <v>11</v>
      </c>
      <c r="E139" s="11" t="s">
        <v>22</v>
      </c>
      <c r="F139" s="11">
        <v>458.28</v>
      </c>
      <c r="G139" s="11">
        <v>557994805</v>
      </c>
      <c r="H139" s="11">
        <v>1</v>
      </c>
      <c r="I139" s="11">
        <f>SalesData[[#This Row],[Price]]*SalesData[[#This Row],[Quantity]]</f>
        <v>458.28</v>
      </c>
      <c r="J139" s="11" t="str">
        <f t="shared" si="2"/>
        <v>Low</v>
      </c>
      <c r="K139" s="21" t="s">
        <v>290</v>
      </c>
    </row>
    <row r="140" spans="1:11">
      <c r="A140" s="10">
        <v>43778</v>
      </c>
      <c r="B140" s="11" t="s">
        <v>9</v>
      </c>
      <c r="C140" s="11">
        <v>1002544</v>
      </c>
      <c r="D140" s="11" t="s">
        <v>11</v>
      </c>
      <c r="E140" s="11" t="s">
        <v>22</v>
      </c>
      <c r="F140" s="11">
        <v>458.28</v>
      </c>
      <c r="G140" s="11">
        <v>513155877</v>
      </c>
      <c r="H140" s="11">
        <v>3</v>
      </c>
      <c r="I140" s="11">
        <f>SalesData[[#This Row],[Price]]*SalesData[[#This Row],[Quantity]]</f>
        <v>1374.84</v>
      </c>
      <c r="J140" s="11" t="str">
        <f t="shared" si="2"/>
        <v>Low</v>
      </c>
      <c r="K140" s="21" t="s">
        <v>290</v>
      </c>
    </row>
    <row r="141" spans="1:11">
      <c r="A141" s="10">
        <v>43776</v>
      </c>
      <c r="B141" s="11" t="s">
        <v>9</v>
      </c>
      <c r="C141" s="11">
        <v>1002544</v>
      </c>
      <c r="D141" s="11" t="s">
        <v>11</v>
      </c>
      <c r="E141" s="11" t="s">
        <v>22</v>
      </c>
      <c r="F141" s="11">
        <v>458.28</v>
      </c>
      <c r="G141" s="11">
        <v>515114346</v>
      </c>
      <c r="H141" s="11">
        <v>4</v>
      </c>
      <c r="I141" s="11">
        <f>SalesData[[#This Row],[Price]]*SalesData[[#This Row],[Quantity]]</f>
        <v>1833.12</v>
      </c>
      <c r="J141" s="11" t="str">
        <f t="shared" si="2"/>
        <v>Low</v>
      </c>
      <c r="K141" s="21" t="s">
        <v>290</v>
      </c>
    </row>
    <row r="142" spans="1:11">
      <c r="A142" s="10">
        <v>43774</v>
      </c>
      <c r="B142" s="11" t="s">
        <v>9</v>
      </c>
      <c r="C142" s="11">
        <v>1002544</v>
      </c>
      <c r="D142" s="11" t="s">
        <v>11</v>
      </c>
      <c r="E142" s="11" t="s">
        <v>22</v>
      </c>
      <c r="F142" s="11">
        <v>458.28</v>
      </c>
      <c r="G142" s="11">
        <v>543264125</v>
      </c>
      <c r="H142" s="11">
        <v>4</v>
      </c>
      <c r="I142" s="11">
        <f>SalesData[[#This Row],[Price]]*SalesData[[#This Row],[Quantity]]</f>
        <v>1833.12</v>
      </c>
      <c r="J142" s="11" t="str">
        <f t="shared" si="2"/>
        <v>Low</v>
      </c>
      <c r="K142" s="21" t="s">
        <v>290</v>
      </c>
    </row>
    <row r="143" spans="1:11">
      <c r="A143" s="10">
        <v>43782</v>
      </c>
      <c r="B143" s="11" t="s">
        <v>9</v>
      </c>
      <c r="C143" s="11">
        <v>8500140</v>
      </c>
      <c r="D143" s="11" t="s">
        <v>235</v>
      </c>
      <c r="E143" s="11" t="s">
        <v>109</v>
      </c>
      <c r="F143" s="11">
        <v>576.08000000000004</v>
      </c>
      <c r="G143" s="11">
        <v>558705860</v>
      </c>
      <c r="H143" s="11">
        <v>2</v>
      </c>
      <c r="I143" s="11">
        <f>SalesData[[#This Row],[Price]]*SalesData[[#This Row],[Quantity]]</f>
        <v>1152.1600000000001</v>
      </c>
      <c r="J143" s="11" t="str">
        <f t="shared" si="2"/>
        <v>Medium</v>
      </c>
      <c r="K143" s="21" t="s">
        <v>235</v>
      </c>
    </row>
    <row r="144" spans="1:11">
      <c r="A144" s="10">
        <v>43772</v>
      </c>
      <c r="B144" s="11" t="s">
        <v>9</v>
      </c>
      <c r="C144" s="11">
        <v>13200605</v>
      </c>
      <c r="D144" s="11" t="s">
        <v>10</v>
      </c>
      <c r="E144" s="11" t="s">
        <v>235</v>
      </c>
      <c r="F144" s="11">
        <v>566.29999999999995</v>
      </c>
      <c r="G144" s="11">
        <v>559368633</v>
      </c>
      <c r="H144" s="11">
        <v>3</v>
      </c>
      <c r="I144" s="11">
        <f>SalesData[[#This Row],[Price]]*SalesData[[#This Row],[Quantity]]</f>
        <v>1698.8999999999999</v>
      </c>
      <c r="J144" s="11" t="str">
        <f t="shared" si="2"/>
        <v>Medium</v>
      </c>
      <c r="K144" s="21" t="s">
        <v>293</v>
      </c>
    </row>
    <row r="145" spans="1:11">
      <c r="A145" s="10">
        <v>43779</v>
      </c>
      <c r="B145" s="11" t="s">
        <v>9</v>
      </c>
      <c r="C145" s="11">
        <v>1002544</v>
      </c>
      <c r="D145" s="11" t="s">
        <v>11</v>
      </c>
      <c r="E145" s="11" t="s">
        <v>22</v>
      </c>
      <c r="F145" s="11">
        <v>458.28</v>
      </c>
      <c r="G145" s="11">
        <v>523893477</v>
      </c>
      <c r="H145" s="11">
        <v>4</v>
      </c>
      <c r="I145" s="11">
        <f>SalesData[[#This Row],[Price]]*SalesData[[#This Row],[Quantity]]</f>
        <v>1833.12</v>
      </c>
      <c r="J145" s="11" t="str">
        <f t="shared" si="2"/>
        <v>Low</v>
      </c>
      <c r="K145" s="21" t="s">
        <v>290</v>
      </c>
    </row>
    <row r="146" spans="1:11">
      <c r="A146" s="10">
        <v>43772</v>
      </c>
      <c r="B146" s="11" t="s">
        <v>9</v>
      </c>
      <c r="C146" s="11">
        <v>3601472</v>
      </c>
      <c r="D146" s="11" t="s">
        <v>81</v>
      </c>
      <c r="E146" s="11" t="s">
        <v>92</v>
      </c>
      <c r="F146" s="11">
        <v>540.51</v>
      </c>
      <c r="G146" s="11">
        <v>515085187</v>
      </c>
      <c r="H146" s="11">
        <v>5</v>
      </c>
      <c r="I146" s="11">
        <f>SalesData[[#This Row],[Price]]*SalesData[[#This Row],[Quantity]]</f>
        <v>2702.55</v>
      </c>
      <c r="J146" s="11" t="str">
        <f t="shared" si="2"/>
        <v>Medium</v>
      </c>
      <c r="K146" s="21" t="s">
        <v>292</v>
      </c>
    </row>
    <row r="147" spans="1:11">
      <c r="A147" s="10">
        <v>43772</v>
      </c>
      <c r="B147" s="11" t="s">
        <v>9</v>
      </c>
      <c r="C147" s="11">
        <v>1002544</v>
      </c>
      <c r="D147" s="11" t="s">
        <v>11</v>
      </c>
      <c r="E147" s="11" t="s">
        <v>22</v>
      </c>
      <c r="F147" s="11">
        <v>458.28</v>
      </c>
      <c r="G147" s="11">
        <v>544134586</v>
      </c>
      <c r="H147" s="11">
        <v>2</v>
      </c>
      <c r="I147" s="11">
        <f>SalesData[[#This Row],[Price]]*SalesData[[#This Row],[Quantity]]</f>
        <v>916.56</v>
      </c>
      <c r="J147" s="11" t="str">
        <f t="shared" si="2"/>
        <v>Low</v>
      </c>
      <c r="K147" s="21" t="s">
        <v>290</v>
      </c>
    </row>
    <row r="148" spans="1:11">
      <c r="A148" s="10">
        <v>43771</v>
      </c>
      <c r="B148" s="11" t="s">
        <v>9</v>
      </c>
      <c r="C148" s="11">
        <v>1002544</v>
      </c>
      <c r="D148" s="11" t="s">
        <v>11</v>
      </c>
      <c r="E148" s="11" t="s">
        <v>22</v>
      </c>
      <c r="F148" s="11">
        <v>458.28</v>
      </c>
      <c r="G148" s="11">
        <v>547627972</v>
      </c>
      <c r="H148" s="11">
        <v>2</v>
      </c>
      <c r="I148" s="11">
        <f>SalesData[[#This Row],[Price]]*SalesData[[#This Row],[Quantity]]</f>
        <v>916.56</v>
      </c>
      <c r="J148" s="11" t="str">
        <f t="shared" si="2"/>
        <v>Low</v>
      </c>
      <c r="K148" s="21" t="s">
        <v>290</v>
      </c>
    </row>
    <row r="149" spans="1:11">
      <c r="A149" s="10">
        <v>43772</v>
      </c>
      <c r="B149" s="11" t="s">
        <v>9</v>
      </c>
      <c r="C149" s="11">
        <v>1002544</v>
      </c>
      <c r="D149" s="11" t="s">
        <v>11</v>
      </c>
      <c r="E149" s="11" t="s">
        <v>22</v>
      </c>
      <c r="F149" s="11">
        <v>458.28</v>
      </c>
      <c r="G149" s="11">
        <v>514684465</v>
      </c>
      <c r="H149" s="11">
        <v>4</v>
      </c>
      <c r="I149" s="11">
        <f>SalesData[[#This Row],[Price]]*SalesData[[#This Row],[Quantity]]</f>
        <v>1833.12</v>
      </c>
      <c r="J149" s="11" t="str">
        <f t="shared" si="2"/>
        <v>Low</v>
      </c>
      <c r="K149" s="21" t="s">
        <v>290</v>
      </c>
    </row>
    <row r="150" spans="1:11">
      <c r="A150" s="10">
        <v>43779</v>
      </c>
      <c r="B150" s="11" t="s">
        <v>9</v>
      </c>
      <c r="C150" s="11">
        <v>1002544</v>
      </c>
      <c r="D150" s="11" t="s">
        <v>11</v>
      </c>
      <c r="E150" s="11" t="s">
        <v>22</v>
      </c>
      <c r="F150" s="11">
        <v>458.28</v>
      </c>
      <c r="G150" s="11">
        <v>559736722</v>
      </c>
      <c r="H150" s="11">
        <v>4</v>
      </c>
      <c r="I150" s="11">
        <f>SalesData[[#This Row],[Price]]*SalesData[[#This Row],[Quantity]]</f>
        <v>1833.12</v>
      </c>
      <c r="J150" s="11" t="str">
        <f t="shared" si="2"/>
        <v>Low</v>
      </c>
      <c r="K150" s="21" t="s">
        <v>290</v>
      </c>
    </row>
    <row r="151" spans="1:11">
      <c r="A151" s="10">
        <v>43770</v>
      </c>
      <c r="B151" s="11" t="s">
        <v>9</v>
      </c>
      <c r="C151" s="11">
        <v>1002544</v>
      </c>
      <c r="D151" s="11" t="s">
        <v>11</v>
      </c>
      <c r="E151" s="11" t="s">
        <v>22</v>
      </c>
      <c r="F151" s="11">
        <v>458.28</v>
      </c>
      <c r="G151" s="11">
        <v>546076557</v>
      </c>
      <c r="H151" s="11">
        <v>1</v>
      </c>
      <c r="I151" s="11">
        <f>SalesData[[#This Row],[Price]]*SalesData[[#This Row],[Quantity]]</f>
        <v>458.28</v>
      </c>
      <c r="J151" s="11" t="str">
        <f t="shared" si="2"/>
        <v>Low</v>
      </c>
      <c r="K151" s="21" t="s">
        <v>290</v>
      </c>
    </row>
    <row r="152" spans="1:11">
      <c r="A152" s="10">
        <v>43781</v>
      </c>
      <c r="B152" s="11" t="s">
        <v>9</v>
      </c>
      <c r="C152" s="11">
        <v>1002544</v>
      </c>
      <c r="D152" s="11" t="s">
        <v>11</v>
      </c>
      <c r="E152" s="11" t="s">
        <v>22</v>
      </c>
      <c r="F152" s="11">
        <v>458.28</v>
      </c>
      <c r="G152" s="11">
        <v>564493861</v>
      </c>
      <c r="H152" s="11">
        <v>4</v>
      </c>
      <c r="I152" s="11">
        <f>SalesData[[#This Row],[Price]]*SalesData[[#This Row],[Quantity]]</f>
        <v>1833.12</v>
      </c>
      <c r="J152" s="11" t="str">
        <f t="shared" si="2"/>
        <v>Low</v>
      </c>
      <c r="K152" s="21" t="s">
        <v>290</v>
      </c>
    </row>
    <row r="153" spans="1:11">
      <c r="A153" s="10">
        <v>43783</v>
      </c>
      <c r="B153" s="11" t="s">
        <v>9</v>
      </c>
      <c r="C153" s="11">
        <v>1480707</v>
      </c>
      <c r="D153" s="11" t="s">
        <v>24</v>
      </c>
      <c r="E153" s="11" t="s">
        <v>32</v>
      </c>
      <c r="F153" s="11">
        <v>525.08000000000004</v>
      </c>
      <c r="G153" s="11">
        <v>566282818</v>
      </c>
      <c r="H153" s="11">
        <v>4</v>
      </c>
      <c r="I153" s="11">
        <f>SalesData[[#This Row],[Price]]*SalesData[[#This Row],[Quantity]]</f>
        <v>2100.3200000000002</v>
      </c>
      <c r="J153" s="11" t="str">
        <f t="shared" si="2"/>
        <v>Medium</v>
      </c>
      <c r="K153" s="21" t="s">
        <v>291</v>
      </c>
    </row>
    <row r="154" spans="1:11">
      <c r="A154" s="10">
        <v>43779</v>
      </c>
      <c r="B154" s="11" t="s">
        <v>9</v>
      </c>
      <c r="C154" s="11">
        <v>2701697</v>
      </c>
      <c r="D154" s="11" t="s">
        <v>100</v>
      </c>
      <c r="E154" s="11" t="s">
        <v>38</v>
      </c>
      <c r="F154" s="11">
        <v>520.57000000000005</v>
      </c>
      <c r="G154" s="11">
        <v>514217834</v>
      </c>
      <c r="H154" s="11">
        <v>2</v>
      </c>
      <c r="I154" s="11">
        <f>SalesData[[#This Row],[Price]]*SalesData[[#This Row],[Quantity]]</f>
        <v>1041.1400000000001</v>
      </c>
      <c r="J154" s="11" t="str">
        <f t="shared" si="2"/>
        <v>Medium</v>
      </c>
      <c r="K154" s="21" t="s">
        <v>292</v>
      </c>
    </row>
    <row r="155" spans="1:11">
      <c r="A155" s="10">
        <v>43779</v>
      </c>
      <c r="B155" s="11" t="s">
        <v>9</v>
      </c>
      <c r="C155" s="11">
        <v>11800033</v>
      </c>
      <c r="D155" s="11" t="s">
        <v>235</v>
      </c>
      <c r="E155" s="11" t="s">
        <v>26</v>
      </c>
      <c r="F155" s="11">
        <v>514.79</v>
      </c>
      <c r="G155" s="11">
        <v>513590675</v>
      </c>
      <c r="H155" s="11">
        <v>5</v>
      </c>
      <c r="I155" s="11">
        <f>SalesData[[#This Row],[Price]]*SalesData[[#This Row],[Quantity]]</f>
        <v>2573.9499999999998</v>
      </c>
      <c r="J155" s="11" t="str">
        <f t="shared" si="2"/>
        <v>Medium</v>
      </c>
      <c r="K155" s="21" t="s">
        <v>235</v>
      </c>
    </row>
    <row r="156" spans="1:11">
      <c r="A156" s="10">
        <v>43770</v>
      </c>
      <c r="B156" s="11" t="s">
        <v>9</v>
      </c>
      <c r="C156" s="11">
        <v>1701111</v>
      </c>
      <c r="D156" s="11" t="s">
        <v>93</v>
      </c>
      <c r="E156" s="11" t="s">
        <v>94</v>
      </c>
      <c r="F156" s="11">
        <v>514.79</v>
      </c>
      <c r="G156" s="11">
        <v>537182679</v>
      </c>
      <c r="H156" s="11">
        <v>2</v>
      </c>
      <c r="I156" s="11">
        <f>SalesData[[#This Row],[Price]]*SalesData[[#This Row],[Quantity]]</f>
        <v>1029.58</v>
      </c>
      <c r="J156" s="11" t="str">
        <f t="shared" si="2"/>
        <v>Medium</v>
      </c>
      <c r="K156" s="21" t="s">
        <v>291</v>
      </c>
    </row>
    <row r="157" spans="1:11">
      <c r="A157" s="10">
        <v>43777</v>
      </c>
      <c r="B157" s="11" t="s">
        <v>9</v>
      </c>
      <c r="C157" s="11">
        <v>4100277</v>
      </c>
      <c r="D157" s="11" t="s">
        <v>235</v>
      </c>
      <c r="E157" s="11" t="s">
        <v>26</v>
      </c>
      <c r="F157" s="11">
        <v>511.96</v>
      </c>
      <c r="G157" s="11">
        <v>552005062</v>
      </c>
      <c r="H157" s="11">
        <v>5</v>
      </c>
      <c r="I157" s="11">
        <f>SalesData[[#This Row],[Price]]*SalesData[[#This Row],[Quantity]]</f>
        <v>2559.7999999999997</v>
      </c>
      <c r="J157" s="11" t="str">
        <f t="shared" si="2"/>
        <v>Medium</v>
      </c>
      <c r="K157" s="21" t="s">
        <v>235</v>
      </c>
    </row>
    <row r="158" spans="1:11">
      <c r="A158" s="10">
        <v>43773</v>
      </c>
      <c r="B158" s="11" t="s">
        <v>9</v>
      </c>
      <c r="C158" s="11">
        <v>26300084</v>
      </c>
      <c r="D158" s="11" t="s">
        <v>235</v>
      </c>
      <c r="E158" s="11" t="s">
        <v>14</v>
      </c>
      <c r="F158" s="11">
        <v>510.18</v>
      </c>
      <c r="G158" s="11">
        <v>522379836</v>
      </c>
      <c r="H158" s="11">
        <v>3</v>
      </c>
      <c r="I158" s="11">
        <f>SalesData[[#This Row],[Price]]*SalesData[[#This Row],[Quantity]]</f>
        <v>1530.54</v>
      </c>
      <c r="J158" s="11" t="str">
        <f t="shared" si="2"/>
        <v>Medium</v>
      </c>
      <c r="K158" s="21" t="s">
        <v>235</v>
      </c>
    </row>
    <row r="159" spans="1:11">
      <c r="A159" s="10">
        <v>43783</v>
      </c>
      <c r="B159" s="11" t="s">
        <v>9</v>
      </c>
      <c r="C159" s="11">
        <v>1002544</v>
      </c>
      <c r="D159" s="11" t="s">
        <v>11</v>
      </c>
      <c r="E159" s="11" t="s">
        <v>22</v>
      </c>
      <c r="F159" s="11">
        <v>458.28</v>
      </c>
      <c r="G159" s="11">
        <v>533712528</v>
      </c>
      <c r="H159" s="11">
        <v>5</v>
      </c>
      <c r="I159" s="11">
        <f>SalesData[[#This Row],[Price]]*SalesData[[#This Row],[Quantity]]</f>
        <v>2291.3999999999996</v>
      </c>
      <c r="J159" s="11" t="str">
        <f t="shared" si="2"/>
        <v>Low</v>
      </c>
      <c r="K159" s="21" t="s">
        <v>290</v>
      </c>
    </row>
    <row r="160" spans="1:11">
      <c r="A160" s="10">
        <v>43781</v>
      </c>
      <c r="B160" s="11" t="s">
        <v>9</v>
      </c>
      <c r="C160" s="11">
        <v>1002544</v>
      </c>
      <c r="D160" s="11" t="s">
        <v>11</v>
      </c>
      <c r="E160" s="11" t="s">
        <v>22</v>
      </c>
      <c r="F160" s="11">
        <v>458.28</v>
      </c>
      <c r="G160" s="11">
        <v>529661706</v>
      </c>
      <c r="H160" s="11">
        <v>3</v>
      </c>
      <c r="I160" s="11">
        <f>SalesData[[#This Row],[Price]]*SalesData[[#This Row],[Quantity]]</f>
        <v>1374.84</v>
      </c>
      <c r="J160" s="11" t="str">
        <f t="shared" si="2"/>
        <v>Low</v>
      </c>
      <c r="K160" s="21" t="s">
        <v>290</v>
      </c>
    </row>
    <row r="161" spans="1:11">
      <c r="A161" s="10">
        <v>43770</v>
      </c>
      <c r="B161" s="11" t="s">
        <v>9</v>
      </c>
      <c r="C161" s="11">
        <v>1002544</v>
      </c>
      <c r="D161" s="11" t="s">
        <v>11</v>
      </c>
      <c r="E161" s="11" t="s">
        <v>22</v>
      </c>
      <c r="F161" s="11">
        <v>458.28</v>
      </c>
      <c r="G161" s="11">
        <v>534867232</v>
      </c>
      <c r="H161" s="11">
        <v>4</v>
      </c>
      <c r="I161" s="11">
        <f>SalesData[[#This Row],[Price]]*SalesData[[#This Row],[Quantity]]</f>
        <v>1833.12</v>
      </c>
      <c r="J161" s="11" t="str">
        <f t="shared" si="2"/>
        <v>Low</v>
      </c>
      <c r="K161" s="21" t="s">
        <v>290</v>
      </c>
    </row>
    <row r="162" spans="1:11">
      <c r="A162" s="10">
        <v>43771</v>
      </c>
      <c r="B162" s="11" t="s">
        <v>9</v>
      </c>
      <c r="C162" s="11">
        <v>1002544</v>
      </c>
      <c r="D162" s="11" t="s">
        <v>11</v>
      </c>
      <c r="E162" s="11" t="s">
        <v>22</v>
      </c>
      <c r="F162" s="11">
        <v>458.28</v>
      </c>
      <c r="G162" s="11">
        <v>565331688</v>
      </c>
      <c r="H162" s="11">
        <v>1</v>
      </c>
      <c r="I162" s="11">
        <f>SalesData[[#This Row],[Price]]*SalesData[[#This Row],[Quantity]]</f>
        <v>458.28</v>
      </c>
      <c r="J162" s="11" t="str">
        <f t="shared" si="2"/>
        <v>Low</v>
      </c>
      <c r="K162" s="21" t="s">
        <v>290</v>
      </c>
    </row>
    <row r="163" spans="1:11">
      <c r="A163" s="10">
        <v>43777</v>
      </c>
      <c r="B163" s="11" t="s">
        <v>9</v>
      </c>
      <c r="C163" s="11">
        <v>1002544</v>
      </c>
      <c r="D163" s="11" t="s">
        <v>11</v>
      </c>
      <c r="E163" s="11" t="s">
        <v>22</v>
      </c>
      <c r="F163" s="11">
        <v>458.28</v>
      </c>
      <c r="G163" s="11">
        <v>566303303</v>
      </c>
      <c r="H163" s="11">
        <v>1</v>
      </c>
      <c r="I163" s="11">
        <f>SalesData[[#This Row],[Price]]*SalesData[[#This Row],[Quantity]]</f>
        <v>458.28</v>
      </c>
      <c r="J163" s="11" t="str">
        <f t="shared" si="2"/>
        <v>Low</v>
      </c>
      <c r="K163" s="21" t="s">
        <v>290</v>
      </c>
    </row>
    <row r="164" spans="1:11">
      <c r="A164" s="10">
        <v>43771</v>
      </c>
      <c r="B164" s="11" t="s">
        <v>9</v>
      </c>
      <c r="C164" s="11">
        <v>1002544</v>
      </c>
      <c r="D164" s="11" t="s">
        <v>11</v>
      </c>
      <c r="E164" s="11" t="s">
        <v>22</v>
      </c>
      <c r="F164" s="11">
        <v>458.28</v>
      </c>
      <c r="G164" s="11">
        <v>538669191</v>
      </c>
      <c r="H164" s="11">
        <v>5</v>
      </c>
      <c r="I164" s="11">
        <f>SalesData[[#This Row],[Price]]*SalesData[[#This Row],[Quantity]]</f>
        <v>2291.3999999999996</v>
      </c>
      <c r="J164" s="11" t="str">
        <f t="shared" si="2"/>
        <v>Low</v>
      </c>
      <c r="K164" s="21" t="s">
        <v>290</v>
      </c>
    </row>
    <row r="165" spans="1:11">
      <c r="A165" s="10">
        <v>43783</v>
      </c>
      <c r="B165" s="11" t="s">
        <v>9</v>
      </c>
      <c r="C165" s="11">
        <v>1002544</v>
      </c>
      <c r="D165" s="11" t="s">
        <v>11</v>
      </c>
      <c r="E165" s="11" t="s">
        <v>22</v>
      </c>
      <c r="F165" s="11">
        <v>458.28</v>
      </c>
      <c r="G165" s="11">
        <v>523759066</v>
      </c>
      <c r="H165" s="11">
        <v>2</v>
      </c>
      <c r="I165" s="11">
        <f>SalesData[[#This Row],[Price]]*SalesData[[#This Row],[Quantity]]</f>
        <v>916.56</v>
      </c>
      <c r="J165" s="11" t="str">
        <f t="shared" si="2"/>
        <v>Low</v>
      </c>
      <c r="K165" s="21" t="s">
        <v>290</v>
      </c>
    </row>
    <row r="166" spans="1:11">
      <c r="A166" s="10">
        <v>43774</v>
      </c>
      <c r="B166" s="11" t="s">
        <v>9</v>
      </c>
      <c r="C166" s="11">
        <v>5100567</v>
      </c>
      <c r="D166" s="11" t="s">
        <v>45</v>
      </c>
      <c r="E166" s="11" t="s">
        <v>22</v>
      </c>
      <c r="F166" s="11">
        <v>457.13</v>
      </c>
      <c r="G166" s="11">
        <v>552654469</v>
      </c>
      <c r="H166" s="11">
        <v>5</v>
      </c>
      <c r="I166" s="11">
        <f>SalesData[[#This Row],[Price]]*SalesData[[#This Row],[Quantity]]</f>
        <v>2285.65</v>
      </c>
      <c r="J166" s="11" t="str">
        <f t="shared" si="2"/>
        <v>Low</v>
      </c>
      <c r="K166" s="21" t="s">
        <v>290</v>
      </c>
    </row>
    <row r="167" spans="1:11">
      <c r="A167" s="10">
        <v>43770</v>
      </c>
      <c r="B167" s="11" t="s">
        <v>9</v>
      </c>
      <c r="C167" s="11">
        <v>5100566</v>
      </c>
      <c r="D167" s="11" t="s">
        <v>45</v>
      </c>
      <c r="E167" s="11" t="s">
        <v>22</v>
      </c>
      <c r="F167" s="11">
        <v>453.16</v>
      </c>
      <c r="G167" s="11">
        <v>512476567</v>
      </c>
      <c r="H167" s="11">
        <v>3</v>
      </c>
      <c r="I167" s="11">
        <f>SalesData[[#This Row],[Price]]*SalesData[[#This Row],[Quantity]]</f>
        <v>1359.48</v>
      </c>
      <c r="J167" s="11" t="str">
        <f t="shared" si="2"/>
        <v>Low</v>
      </c>
      <c r="K167" s="21" t="s">
        <v>290</v>
      </c>
    </row>
    <row r="168" spans="1:11">
      <c r="A168" s="10">
        <v>43773</v>
      </c>
      <c r="B168" s="11" t="s">
        <v>9</v>
      </c>
      <c r="C168" s="11">
        <v>5100570</v>
      </c>
      <c r="D168" s="11" t="s">
        <v>45</v>
      </c>
      <c r="E168" s="11" t="s">
        <v>22</v>
      </c>
      <c r="F168" s="11">
        <v>447.6</v>
      </c>
      <c r="G168" s="11">
        <v>512894714</v>
      </c>
      <c r="H168" s="11">
        <v>1</v>
      </c>
      <c r="I168" s="11">
        <f>SalesData[[#This Row],[Price]]*SalesData[[#This Row],[Quantity]]</f>
        <v>447.6</v>
      </c>
      <c r="J168" s="11" t="str">
        <f t="shared" si="2"/>
        <v>Low</v>
      </c>
      <c r="K168" s="21" t="s">
        <v>290</v>
      </c>
    </row>
    <row r="169" spans="1:11">
      <c r="A169" s="10">
        <v>43782</v>
      </c>
      <c r="B169" s="11" t="s">
        <v>9</v>
      </c>
      <c r="C169" s="11">
        <v>1201566</v>
      </c>
      <c r="D169" s="11" t="s">
        <v>124</v>
      </c>
      <c r="E169" s="11" t="s">
        <v>22</v>
      </c>
      <c r="F169" s="11">
        <v>437.31</v>
      </c>
      <c r="G169" s="11">
        <v>516977445</v>
      </c>
      <c r="H169" s="11">
        <v>1</v>
      </c>
      <c r="I169" s="11">
        <f>SalesData[[#This Row],[Price]]*SalesData[[#This Row],[Quantity]]</f>
        <v>437.31</v>
      </c>
      <c r="J169" s="11" t="str">
        <f t="shared" si="2"/>
        <v>Low</v>
      </c>
      <c r="K169" s="21" t="s">
        <v>290</v>
      </c>
    </row>
    <row r="170" spans="1:11">
      <c r="A170" s="10">
        <v>43779</v>
      </c>
      <c r="B170" s="11" t="s">
        <v>9</v>
      </c>
      <c r="C170" s="11">
        <v>1201292</v>
      </c>
      <c r="D170" s="11" t="s">
        <v>124</v>
      </c>
      <c r="E170" s="11" t="s">
        <v>22</v>
      </c>
      <c r="F170" s="11">
        <v>411.54</v>
      </c>
      <c r="G170" s="11">
        <v>518026730</v>
      </c>
      <c r="H170" s="11">
        <v>5</v>
      </c>
      <c r="I170" s="11">
        <f>SalesData[[#This Row],[Price]]*SalesData[[#This Row],[Quantity]]</f>
        <v>2057.7000000000003</v>
      </c>
      <c r="J170" s="11" t="str">
        <f t="shared" si="2"/>
        <v>Low</v>
      </c>
      <c r="K170" s="21" t="s">
        <v>290</v>
      </c>
    </row>
    <row r="171" spans="1:11">
      <c r="A171" s="10">
        <v>43774</v>
      </c>
      <c r="B171" s="11" t="s">
        <v>9</v>
      </c>
      <c r="C171" s="11">
        <v>1002629</v>
      </c>
      <c r="D171" s="11" t="s">
        <v>11</v>
      </c>
      <c r="E171" s="11" t="s">
        <v>22</v>
      </c>
      <c r="F171" s="11">
        <v>358.31</v>
      </c>
      <c r="G171" s="11">
        <v>566289907</v>
      </c>
      <c r="H171" s="11">
        <v>2</v>
      </c>
      <c r="I171" s="11">
        <f>SalesData[[#This Row],[Price]]*SalesData[[#This Row],[Quantity]]</f>
        <v>716.62</v>
      </c>
      <c r="J171" s="11" t="str">
        <f t="shared" si="2"/>
        <v>Low</v>
      </c>
      <c r="K171" s="21" t="s">
        <v>290</v>
      </c>
    </row>
    <row r="172" spans="1:11">
      <c r="A172" s="10">
        <v>43779</v>
      </c>
      <c r="B172" s="11" t="s">
        <v>9</v>
      </c>
      <c r="C172" s="11">
        <v>1002629</v>
      </c>
      <c r="D172" s="11" t="s">
        <v>11</v>
      </c>
      <c r="E172" s="11" t="s">
        <v>22</v>
      </c>
      <c r="F172" s="11">
        <v>358.31</v>
      </c>
      <c r="G172" s="11">
        <v>518913698</v>
      </c>
      <c r="H172" s="11">
        <v>4</v>
      </c>
      <c r="I172" s="11">
        <f>SalesData[[#This Row],[Price]]*SalesData[[#This Row],[Quantity]]</f>
        <v>1433.24</v>
      </c>
      <c r="J172" s="11" t="str">
        <f t="shared" si="2"/>
        <v>Low</v>
      </c>
      <c r="K172" s="21" t="s">
        <v>290</v>
      </c>
    </row>
    <row r="173" spans="1:11">
      <c r="A173" s="10">
        <v>43781</v>
      </c>
      <c r="B173" s="11" t="s">
        <v>9</v>
      </c>
      <c r="C173" s="11">
        <v>1801551</v>
      </c>
      <c r="D173" s="11" t="s">
        <v>15</v>
      </c>
      <c r="E173" s="11" t="s">
        <v>78</v>
      </c>
      <c r="F173" s="11">
        <v>463.31</v>
      </c>
      <c r="G173" s="11">
        <v>515521256</v>
      </c>
      <c r="H173" s="11">
        <v>5</v>
      </c>
      <c r="I173" s="11">
        <f>SalesData[[#This Row],[Price]]*SalesData[[#This Row],[Quantity]]</f>
        <v>2316.5500000000002</v>
      </c>
      <c r="J173" s="11" t="str">
        <f t="shared" si="2"/>
        <v>Low</v>
      </c>
      <c r="K173" s="21" t="s">
        <v>290</v>
      </c>
    </row>
    <row r="174" spans="1:11">
      <c r="A174" s="10">
        <v>43771</v>
      </c>
      <c r="B174" s="11" t="s">
        <v>9</v>
      </c>
      <c r="C174" s="11">
        <v>2601811</v>
      </c>
      <c r="D174" s="11" t="s">
        <v>235</v>
      </c>
      <c r="E174" s="11" t="s">
        <v>111</v>
      </c>
      <c r="F174" s="11">
        <v>463.31</v>
      </c>
      <c r="G174" s="11">
        <v>552942046</v>
      </c>
      <c r="H174" s="11">
        <v>5</v>
      </c>
      <c r="I174" s="11">
        <f>SalesData[[#This Row],[Price]]*SalesData[[#This Row],[Quantity]]</f>
        <v>2316.5500000000002</v>
      </c>
      <c r="J174" s="11" t="str">
        <f t="shared" si="2"/>
        <v>Low</v>
      </c>
      <c r="K174" s="21" t="s">
        <v>235</v>
      </c>
    </row>
    <row r="175" spans="1:11">
      <c r="A175" s="10">
        <v>43778</v>
      </c>
      <c r="B175" s="11" t="s">
        <v>9</v>
      </c>
      <c r="C175" s="11">
        <v>1005235</v>
      </c>
      <c r="D175" s="11" t="s">
        <v>11</v>
      </c>
      <c r="E175" s="11" t="s">
        <v>47</v>
      </c>
      <c r="F175" s="11">
        <v>463.28</v>
      </c>
      <c r="G175" s="11">
        <v>537466008</v>
      </c>
      <c r="H175" s="11">
        <v>1</v>
      </c>
      <c r="I175" s="11">
        <f>SalesData[[#This Row],[Price]]*SalesData[[#This Row],[Quantity]]</f>
        <v>463.28</v>
      </c>
      <c r="J175" s="11" t="str">
        <f t="shared" si="2"/>
        <v>Low</v>
      </c>
      <c r="K175" s="21" t="s">
        <v>290</v>
      </c>
    </row>
    <row r="176" spans="1:11">
      <c r="A176" s="10">
        <v>43780</v>
      </c>
      <c r="B176" s="11" t="s">
        <v>9</v>
      </c>
      <c r="C176" s="11">
        <v>1005235</v>
      </c>
      <c r="D176" s="11" t="s">
        <v>11</v>
      </c>
      <c r="E176" s="11" t="s">
        <v>47</v>
      </c>
      <c r="F176" s="11">
        <v>463.28</v>
      </c>
      <c r="G176" s="11">
        <v>537466008</v>
      </c>
      <c r="H176" s="11">
        <v>4</v>
      </c>
      <c r="I176" s="11">
        <f>SalesData[[#This Row],[Price]]*SalesData[[#This Row],[Quantity]]</f>
        <v>1853.12</v>
      </c>
      <c r="J176" s="11" t="str">
        <f t="shared" si="2"/>
        <v>Low</v>
      </c>
      <c r="K176" s="21" t="s">
        <v>290</v>
      </c>
    </row>
    <row r="177" spans="1:11">
      <c r="A177" s="10">
        <v>43772</v>
      </c>
      <c r="B177" s="11" t="s">
        <v>9</v>
      </c>
      <c r="C177" s="11">
        <v>1005235</v>
      </c>
      <c r="D177" s="11" t="s">
        <v>11</v>
      </c>
      <c r="E177" s="11" t="s">
        <v>47</v>
      </c>
      <c r="F177" s="11">
        <v>463.28</v>
      </c>
      <c r="G177" s="11">
        <v>537466008</v>
      </c>
      <c r="H177" s="11">
        <v>1</v>
      </c>
      <c r="I177" s="11">
        <f>SalesData[[#This Row],[Price]]*SalesData[[#This Row],[Quantity]]</f>
        <v>463.28</v>
      </c>
      <c r="J177" s="11" t="str">
        <f t="shared" si="2"/>
        <v>Low</v>
      </c>
      <c r="K177" s="21" t="s">
        <v>290</v>
      </c>
    </row>
    <row r="178" spans="1:11">
      <c r="A178" s="10">
        <v>43771</v>
      </c>
      <c r="B178" s="11" t="s">
        <v>9</v>
      </c>
      <c r="C178" s="11">
        <v>2702277</v>
      </c>
      <c r="D178" s="11" t="s">
        <v>100</v>
      </c>
      <c r="E178" s="11" t="s">
        <v>92</v>
      </c>
      <c r="F178" s="11">
        <v>463.07</v>
      </c>
      <c r="G178" s="11">
        <v>537734147</v>
      </c>
      <c r="H178" s="11">
        <v>3</v>
      </c>
      <c r="I178" s="11">
        <f>SalesData[[#This Row],[Price]]*SalesData[[#This Row],[Quantity]]</f>
        <v>1389.21</v>
      </c>
      <c r="J178" s="11" t="str">
        <f t="shared" si="2"/>
        <v>Low</v>
      </c>
      <c r="K178" s="21" t="s">
        <v>292</v>
      </c>
    </row>
    <row r="179" spans="1:11">
      <c r="A179" s="10">
        <v>43770</v>
      </c>
      <c r="B179" s="11" t="s">
        <v>9</v>
      </c>
      <c r="C179" s="11">
        <v>4100129</v>
      </c>
      <c r="D179" s="11" t="s">
        <v>235</v>
      </c>
      <c r="E179" s="11" t="s">
        <v>26</v>
      </c>
      <c r="F179" s="11">
        <v>462.79</v>
      </c>
      <c r="G179" s="11">
        <v>516426931</v>
      </c>
      <c r="H179" s="11">
        <v>1</v>
      </c>
      <c r="I179" s="11">
        <f>SalesData[[#This Row],[Price]]*SalesData[[#This Row],[Quantity]]</f>
        <v>462.79</v>
      </c>
      <c r="J179" s="11" t="str">
        <f t="shared" si="2"/>
        <v>Low</v>
      </c>
      <c r="K179" s="21" t="s">
        <v>235</v>
      </c>
    </row>
    <row r="180" spans="1:11">
      <c r="A180" s="10">
        <v>43770</v>
      </c>
      <c r="B180" s="11" t="s">
        <v>9</v>
      </c>
      <c r="C180" s="11">
        <v>2601891</v>
      </c>
      <c r="D180" s="11" t="s">
        <v>235</v>
      </c>
      <c r="E180" s="11" t="s">
        <v>180</v>
      </c>
      <c r="F180" s="11">
        <v>460.7</v>
      </c>
      <c r="G180" s="11">
        <v>546995205</v>
      </c>
      <c r="H180" s="11">
        <v>4</v>
      </c>
      <c r="I180" s="11">
        <f>SalesData[[#This Row],[Price]]*SalesData[[#This Row],[Quantity]]</f>
        <v>1842.8</v>
      </c>
      <c r="J180" s="11" t="str">
        <f t="shared" si="2"/>
        <v>Low</v>
      </c>
      <c r="K180" s="21" t="s">
        <v>235</v>
      </c>
    </row>
    <row r="181" spans="1:11">
      <c r="A181" s="10">
        <v>43770</v>
      </c>
      <c r="B181" s="11" t="s">
        <v>9</v>
      </c>
      <c r="C181" s="11">
        <v>2601891</v>
      </c>
      <c r="D181" s="11" t="s">
        <v>235</v>
      </c>
      <c r="E181" s="11" t="s">
        <v>180</v>
      </c>
      <c r="F181" s="11">
        <v>460.7</v>
      </c>
      <c r="G181" s="11">
        <v>566302002</v>
      </c>
      <c r="H181" s="11">
        <v>1</v>
      </c>
      <c r="I181" s="11">
        <f>SalesData[[#This Row],[Price]]*SalesData[[#This Row],[Quantity]]</f>
        <v>460.7</v>
      </c>
      <c r="J181" s="11" t="str">
        <f t="shared" si="2"/>
        <v>Low</v>
      </c>
      <c r="K181" s="21" t="s">
        <v>235</v>
      </c>
    </row>
    <row r="182" spans="1:11">
      <c r="A182" s="10">
        <v>43779</v>
      </c>
      <c r="B182" s="11" t="s">
        <v>9</v>
      </c>
      <c r="C182" s="11">
        <v>1002629</v>
      </c>
      <c r="D182" s="11" t="s">
        <v>11</v>
      </c>
      <c r="E182" s="11" t="s">
        <v>22</v>
      </c>
      <c r="F182" s="11">
        <v>358.31</v>
      </c>
      <c r="G182" s="11">
        <v>523893477</v>
      </c>
      <c r="H182" s="11">
        <v>2</v>
      </c>
      <c r="I182" s="11">
        <f>SalesData[[#This Row],[Price]]*SalesData[[#This Row],[Quantity]]</f>
        <v>716.62</v>
      </c>
      <c r="J182" s="11" t="str">
        <f t="shared" si="2"/>
        <v>Low</v>
      </c>
      <c r="K182" s="21" t="s">
        <v>290</v>
      </c>
    </row>
    <row r="183" spans="1:11">
      <c r="A183" s="10">
        <v>43774</v>
      </c>
      <c r="B183" s="11" t="s">
        <v>9</v>
      </c>
      <c r="C183" s="11">
        <v>1801555</v>
      </c>
      <c r="D183" s="11" t="s">
        <v>15</v>
      </c>
      <c r="E183" s="11" t="s">
        <v>92</v>
      </c>
      <c r="F183" s="11">
        <v>459.16</v>
      </c>
      <c r="G183" s="11">
        <v>540546907</v>
      </c>
      <c r="H183" s="11">
        <v>5</v>
      </c>
      <c r="I183" s="11">
        <f>SalesData[[#This Row],[Price]]*SalesData[[#This Row],[Quantity]]</f>
        <v>2295.8000000000002</v>
      </c>
      <c r="J183" s="11" t="str">
        <f t="shared" si="2"/>
        <v>Low</v>
      </c>
      <c r="K183" s="21" t="s">
        <v>290</v>
      </c>
    </row>
    <row r="184" spans="1:11">
      <c r="A184" s="10">
        <v>43783</v>
      </c>
      <c r="B184" s="11" t="s">
        <v>9</v>
      </c>
      <c r="C184" s="11">
        <v>1002629</v>
      </c>
      <c r="D184" s="11" t="s">
        <v>11</v>
      </c>
      <c r="E184" s="11" t="s">
        <v>22</v>
      </c>
      <c r="F184" s="11">
        <v>358.31</v>
      </c>
      <c r="G184" s="11">
        <v>542095461</v>
      </c>
      <c r="H184" s="11">
        <v>2</v>
      </c>
      <c r="I184" s="11">
        <f>SalesData[[#This Row],[Price]]*SalesData[[#This Row],[Quantity]]</f>
        <v>716.62</v>
      </c>
      <c r="J184" s="11" t="str">
        <f t="shared" si="2"/>
        <v>Low</v>
      </c>
      <c r="K184" s="21" t="s">
        <v>290</v>
      </c>
    </row>
    <row r="185" spans="1:11">
      <c r="A185" s="10">
        <v>43771</v>
      </c>
      <c r="B185" s="11" t="s">
        <v>9</v>
      </c>
      <c r="C185" s="11">
        <v>1002633</v>
      </c>
      <c r="D185" s="11" t="s">
        <v>11</v>
      </c>
      <c r="E185" s="11" t="s">
        <v>22</v>
      </c>
      <c r="F185" s="11">
        <v>358.31</v>
      </c>
      <c r="G185" s="11">
        <v>558196159</v>
      </c>
      <c r="H185" s="11">
        <v>4</v>
      </c>
      <c r="I185" s="11">
        <f>SalesData[[#This Row],[Price]]*SalesData[[#This Row],[Quantity]]</f>
        <v>1433.24</v>
      </c>
      <c r="J185" s="11" t="str">
        <f t="shared" si="2"/>
        <v>Low</v>
      </c>
      <c r="K185" s="21" t="s">
        <v>290</v>
      </c>
    </row>
    <row r="186" spans="1:11">
      <c r="A186" s="10">
        <v>43772</v>
      </c>
      <c r="B186" s="11" t="s">
        <v>9</v>
      </c>
      <c r="C186" s="11">
        <v>1002633</v>
      </c>
      <c r="D186" s="11" t="s">
        <v>11</v>
      </c>
      <c r="E186" s="11" t="s">
        <v>22</v>
      </c>
      <c r="F186" s="11">
        <v>358.31</v>
      </c>
      <c r="G186" s="11">
        <v>515673045</v>
      </c>
      <c r="H186" s="11">
        <v>1</v>
      </c>
      <c r="I186" s="11">
        <f>SalesData[[#This Row],[Price]]*SalesData[[#This Row],[Quantity]]</f>
        <v>358.31</v>
      </c>
      <c r="J186" s="11" t="str">
        <f t="shared" si="2"/>
        <v>Low</v>
      </c>
      <c r="K186" s="21" t="s">
        <v>290</v>
      </c>
    </row>
    <row r="187" spans="1:11">
      <c r="A187" s="10">
        <v>43771</v>
      </c>
      <c r="B187" s="11" t="s">
        <v>9</v>
      </c>
      <c r="C187" s="11">
        <v>1002633</v>
      </c>
      <c r="D187" s="11" t="s">
        <v>11</v>
      </c>
      <c r="E187" s="11" t="s">
        <v>22</v>
      </c>
      <c r="F187" s="11">
        <v>358.31</v>
      </c>
      <c r="G187" s="11">
        <v>514707389</v>
      </c>
      <c r="H187" s="11">
        <v>1</v>
      </c>
      <c r="I187" s="11">
        <f>SalesData[[#This Row],[Price]]*SalesData[[#This Row],[Quantity]]</f>
        <v>358.31</v>
      </c>
      <c r="J187" s="11" t="str">
        <f t="shared" si="2"/>
        <v>Low</v>
      </c>
      <c r="K187" s="21" t="s">
        <v>290</v>
      </c>
    </row>
    <row r="188" spans="1:11">
      <c r="A188" s="10">
        <v>43772</v>
      </c>
      <c r="B188" s="11" t="s">
        <v>9</v>
      </c>
      <c r="C188" s="11">
        <v>1002629</v>
      </c>
      <c r="D188" s="11" t="s">
        <v>11</v>
      </c>
      <c r="E188" s="11" t="s">
        <v>22</v>
      </c>
      <c r="F188" s="11">
        <v>358.31</v>
      </c>
      <c r="G188" s="11">
        <v>514707389</v>
      </c>
      <c r="H188" s="11">
        <v>4</v>
      </c>
      <c r="I188" s="11">
        <f>SalesData[[#This Row],[Price]]*SalesData[[#This Row],[Quantity]]</f>
        <v>1433.24</v>
      </c>
      <c r="J188" s="11" t="str">
        <f t="shared" si="2"/>
        <v>Low</v>
      </c>
      <c r="K188" s="21" t="s">
        <v>290</v>
      </c>
    </row>
    <row r="189" spans="1:11">
      <c r="A189" s="10">
        <v>43772</v>
      </c>
      <c r="B189" s="11" t="s">
        <v>9</v>
      </c>
      <c r="C189" s="11">
        <v>1002633</v>
      </c>
      <c r="D189" s="11" t="s">
        <v>11</v>
      </c>
      <c r="E189" s="11" t="s">
        <v>22</v>
      </c>
      <c r="F189" s="11">
        <v>358.31</v>
      </c>
      <c r="G189" s="11">
        <v>558417555</v>
      </c>
      <c r="H189" s="11">
        <v>2</v>
      </c>
      <c r="I189" s="11">
        <f>SalesData[[#This Row],[Price]]*SalesData[[#This Row],[Quantity]]</f>
        <v>716.62</v>
      </c>
      <c r="J189" s="11" t="str">
        <f t="shared" si="2"/>
        <v>Low</v>
      </c>
      <c r="K189" s="21" t="s">
        <v>290</v>
      </c>
    </row>
    <row r="190" spans="1:11">
      <c r="A190" s="10">
        <v>43773</v>
      </c>
      <c r="B190" s="11" t="s">
        <v>9</v>
      </c>
      <c r="C190" s="11">
        <v>1002633</v>
      </c>
      <c r="D190" s="11" t="s">
        <v>11</v>
      </c>
      <c r="E190" s="11" t="s">
        <v>22</v>
      </c>
      <c r="F190" s="11">
        <v>358.31</v>
      </c>
      <c r="G190" s="11">
        <v>516711292</v>
      </c>
      <c r="H190" s="11">
        <v>1</v>
      </c>
      <c r="I190" s="11">
        <f>SalesData[[#This Row],[Price]]*SalesData[[#This Row],[Quantity]]</f>
        <v>358.31</v>
      </c>
      <c r="J190" s="11" t="str">
        <f t="shared" si="2"/>
        <v>Low</v>
      </c>
      <c r="K190" s="21" t="s">
        <v>290</v>
      </c>
    </row>
    <row r="191" spans="1:11">
      <c r="A191" s="10">
        <v>43779</v>
      </c>
      <c r="B191" s="11" t="s">
        <v>9</v>
      </c>
      <c r="C191" s="11">
        <v>5100343</v>
      </c>
      <c r="D191" s="11" t="s">
        <v>45</v>
      </c>
      <c r="E191" s="11" t="s">
        <v>22</v>
      </c>
      <c r="F191" s="11">
        <v>333.08</v>
      </c>
      <c r="G191" s="11">
        <v>561842648</v>
      </c>
      <c r="H191" s="11">
        <v>5</v>
      </c>
      <c r="I191" s="11">
        <f>SalesData[[#This Row],[Price]]*SalesData[[#This Row],[Quantity]]</f>
        <v>1665.3999999999999</v>
      </c>
      <c r="J191" s="11" t="str">
        <f t="shared" si="2"/>
        <v>Low</v>
      </c>
      <c r="K191" s="21" t="s">
        <v>290</v>
      </c>
    </row>
    <row r="192" spans="1:11">
      <c r="A192" s="10">
        <v>43778</v>
      </c>
      <c r="B192" s="11" t="s">
        <v>9</v>
      </c>
      <c r="C192" s="11">
        <v>5100337</v>
      </c>
      <c r="D192" s="11" t="s">
        <v>45</v>
      </c>
      <c r="E192" s="11" t="s">
        <v>22</v>
      </c>
      <c r="F192" s="11">
        <v>317.67</v>
      </c>
      <c r="G192" s="11">
        <v>564678469</v>
      </c>
      <c r="H192" s="11">
        <v>2</v>
      </c>
      <c r="I192" s="11">
        <f>SalesData[[#This Row],[Price]]*SalesData[[#This Row],[Quantity]]</f>
        <v>635.34</v>
      </c>
      <c r="J192" s="11" t="str">
        <f t="shared" si="2"/>
        <v>Low</v>
      </c>
      <c r="K192" s="21" t="s">
        <v>290</v>
      </c>
    </row>
    <row r="193" spans="1:11">
      <c r="A193" s="10">
        <v>43773</v>
      </c>
      <c r="B193" s="11" t="s">
        <v>9</v>
      </c>
      <c r="C193" s="11">
        <v>5100562</v>
      </c>
      <c r="D193" s="11" t="s">
        <v>45</v>
      </c>
      <c r="E193" s="11" t="s">
        <v>22</v>
      </c>
      <c r="F193" s="11">
        <v>298.60000000000002</v>
      </c>
      <c r="G193" s="11">
        <v>512424171</v>
      </c>
      <c r="H193" s="11">
        <v>2</v>
      </c>
      <c r="I193" s="11">
        <f>SalesData[[#This Row],[Price]]*SalesData[[#This Row],[Quantity]]</f>
        <v>597.20000000000005</v>
      </c>
      <c r="J193" s="11" t="str">
        <f t="shared" si="2"/>
        <v>Low</v>
      </c>
      <c r="K193" s="21" t="s">
        <v>290</v>
      </c>
    </row>
    <row r="194" spans="1:11">
      <c r="A194" s="10">
        <v>43773</v>
      </c>
      <c r="B194" s="11" t="s">
        <v>9</v>
      </c>
      <c r="C194" s="11">
        <v>4804592</v>
      </c>
      <c r="D194" s="11" t="s">
        <v>33</v>
      </c>
      <c r="E194" s="11" t="s">
        <v>22</v>
      </c>
      <c r="F194" s="11">
        <v>257.38</v>
      </c>
      <c r="G194" s="11">
        <v>513683017</v>
      </c>
      <c r="H194" s="11">
        <v>5</v>
      </c>
      <c r="I194" s="11">
        <f>SalesData[[#This Row],[Price]]*SalesData[[#This Row],[Quantity]]</f>
        <v>1286.9000000000001</v>
      </c>
      <c r="J194" s="11" t="str">
        <f t="shared" ref="J194:J257" si="3">IF(F194&lt;500, "Low", IF(F194&lt;1500, "Medium", "High"))</f>
        <v>Low</v>
      </c>
      <c r="K194" s="21" t="s">
        <v>290</v>
      </c>
    </row>
    <row r="195" spans="1:11">
      <c r="A195" s="10">
        <v>43772</v>
      </c>
      <c r="B195" s="11" t="s">
        <v>9</v>
      </c>
      <c r="C195" s="11">
        <v>4804055</v>
      </c>
      <c r="D195" s="11" t="s">
        <v>33</v>
      </c>
      <c r="E195" s="11" t="s">
        <v>22</v>
      </c>
      <c r="F195" s="11">
        <v>188.94</v>
      </c>
      <c r="G195" s="11">
        <v>553458480</v>
      </c>
      <c r="H195" s="11">
        <v>4</v>
      </c>
      <c r="I195" s="11">
        <f>SalesData[[#This Row],[Price]]*SalesData[[#This Row],[Quantity]]</f>
        <v>755.76</v>
      </c>
      <c r="J195" s="11" t="str">
        <f t="shared" si="3"/>
        <v>Low</v>
      </c>
      <c r="K195" s="21" t="s">
        <v>290</v>
      </c>
    </row>
    <row r="196" spans="1:11">
      <c r="A196" s="10">
        <v>43770</v>
      </c>
      <c r="B196" s="11" t="s">
        <v>9</v>
      </c>
      <c r="C196" s="11">
        <v>4804055</v>
      </c>
      <c r="D196" s="11" t="s">
        <v>33</v>
      </c>
      <c r="E196" s="11" t="s">
        <v>22</v>
      </c>
      <c r="F196" s="11">
        <v>188.94</v>
      </c>
      <c r="G196" s="11">
        <v>545011928</v>
      </c>
      <c r="H196" s="11">
        <v>1</v>
      </c>
      <c r="I196" s="11">
        <f>SalesData[[#This Row],[Price]]*SalesData[[#This Row],[Quantity]]</f>
        <v>188.94</v>
      </c>
      <c r="J196" s="11" t="str">
        <f t="shared" si="3"/>
        <v>Low</v>
      </c>
      <c r="K196" s="21" t="s">
        <v>290</v>
      </c>
    </row>
    <row r="197" spans="1:11">
      <c r="A197" s="10">
        <v>43775</v>
      </c>
      <c r="B197" s="11" t="s">
        <v>9</v>
      </c>
      <c r="C197" s="11">
        <v>4804055</v>
      </c>
      <c r="D197" s="11" t="s">
        <v>33</v>
      </c>
      <c r="E197" s="11" t="s">
        <v>22</v>
      </c>
      <c r="F197" s="11">
        <v>188.94</v>
      </c>
      <c r="G197" s="11">
        <v>530038524</v>
      </c>
      <c r="H197" s="11">
        <v>1</v>
      </c>
      <c r="I197" s="11">
        <f>SalesData[[#This Row],[Price]]*SalesData[[#This Row],[Quantity]]</f>
        <v>188.94</v>
      </c>
      <c r="J197" s="11" t="str">
        <f t="shared" si="3"/>
        <v>Low</v>
      </c>
      <c r="K197" s="21" t="s">
        <v>290</v>
      </c>
    </row>
    <row r="198" spans="1:11">
      <c r="A198" s="10">
        <v>43777</v>
      </c>
      <c r="B198" s="11" t="s">
        <v>9</v>
      </c>
      <c r="C198" s="11">
        <v>4804055</v>
      </c>
      <c r="D198" s="11" t="s">
        <v>33</v>
      </c>
      <c r="E198" s="11" t="s">
        <v>22</v>
      </c>
      <c r="F198" s="11">
        <v>188.94</v>
      </c>
      <c r="G198" s="11">
        <v>529852051</v>
      </c>
      <c r="H198" s="11">
        <v>5</v>
      </c>
      <c r="I198" s="11">
        <f>SalesData[[#This Row],[Price]]*SalesData[[#This Row],[Quantity]]</f>
        <v>944.7</v>
      </c>
      <c r="J198" s="11" t="str">
        <f t="shared" si="3"/>
        <v>Low</v>
      </c>
      <c r="K198" s="21" t="s">
        <v>290</v>
      </c>
    </row>
    <row r="199" spans="1:11">
      <c r="A199" s="10">
        <v>43781</v>
      </c>
      <c r="B199" s="11" t="s">
        <v>9</v>
      </c>
      <c r="C199" s="11">
        <v>4804055</v>
      </c>
      <c r="D199" s="11" t="s">
        <v>33</v>
      </c>
      <c r="E199" s="11" t="s">
        <v>22</v>
      </c>
      <c r="F199" s="11">
        <v>188.94</v>
      </c>
      <c r="G199" s="11">
        <v>515796187</v>
      </c>
      <c r="H199" s="11">
        <v>1</v>
      </c>
      <c r="I199" s="11">
        <f>SalesData[[#This Row],[Price]]*SalesData[[#This Row],[Quantity]]</f>
        <v>188.94</v>
      </c>
      <c r="J199" s="11" t="str">
        <f t="shared" si="3"/>
        <v>Low</v>
      </c>
      <c r="K199" s="21" t="s">
        <v>290</v>
      </c>
    </row>
    <row r="200" spans="1:11">
      <c r="A200" s="10">
        <v>43777</v>
      </c>
      <c r="B200" s="11" t="s">
        <v>9</v>
      </c>
      <c r="C200" s="11">
        <v>4804056</v>
      </c>
      <c r="D200" s="11" t="s">
        <v>33</v>
      </c>
      <c r="E200" s="11" t="s">
        <v>22</v>
      </c>
      <c r="F200" s="11">
        <v>160.57</v>
      </c>
      <c r="G200" s="11">
        <v>562067899</v>
      </c>
      <c r="H200" s="11">
        <v>5</v>
      </c>
      <c r="I200" s="11">
        <f>SalesData[[#This Row],[Price]]*SalesData[[#This Row],[Quantity]]</f>
        <v>802.84999999999991</v>
      </c>
      <c r="J200" s="11" t="str">
        <f t="shared" si="3"/>
        <v>Low</v>
      </c>
      <c r="K200" s="21" t="s">
        <v>290</v>
      </c>
    </row>
    <row r="201" spans="1:11">
      <c r="A201" s="10">
        <v>43784</v>
      </c>
      <c r="B201" s="11" t="s">
        <v>9</v>
      </c>
      <c r="C201" s="11">
        <v>4804056</v>
      </c>
      <c r="D201" s="11" t="s">
        <v>33</v>
      </c>
      <c r="E201" s="11" t="s">
        <v>22</v>
      </c>
      <c r="F201" s="11">
        <v>160.57</v>
      </c>
      <c r="G201" s="11">
        <v>520214844</v>
      </c>
      <c r="H201" s="11">
        <v>1</v>
      </c>
      <c r="I201" s="11">
        <f>SalesData[[#This Row],[Price]]*SalesData[[#This Row],[Quantity]]</f>
        <v>160.57</v>
      </c>
      <c r="J201" s="11" t="str">
        <f t="shared" si="3"/>
        <v>Low</v>
      </c>
      <c r="K201" s="21" t="s">
        <v>290</v>
      </c>
    </row>
    <row r="202" spans="1:11">
      <c r="A202" s="10">
        <v>43776</v>
      </c>
      <c r="B202" s="11" t="s">
        <v>9</v>
      </c>
      <c r="C202" s="11">
        <v>4804056</v>
      </c>
      <c r="D202" s="11" t="s">
        <v>33</v>
      </c>
      <c r="E202" s="11" t="s">
        <v>22</v>
      </c>
      <c r="F202" s="11">
        <v>160.57</v>
      </c>
      <c r="G202" s="11">
        <v>520214844</v>
      </c>
      <c r="H202" s="11">
        <v>1</v>
      </c>
      <c r="I202" s="11">
        <f>SalesData[[#This Row],[Price]]*SalesData[[#This Row],[Quantity]]</f>
        <v>160.57</v>
      </c>
      <c r="J202" s="11" t="str">
        <f t="shared" si="3"/>
        <v>Low</v>
      </c>
      <c r="K202" s="21" t="s">
        <v>290</v>
      </c>
    </row>
    <row r="203" spans="1:11">
      <c r="A203" s="10">
        <v>43784</v>
      </c>
      <c r="B203" s="11" t="s">
        <v>9</v>
      </c>
      <c r="C203" s="11">
        <v>4804056</v>
      </c>
      <c r="D203" s="11" t="s">
        <v>33</v>
      </c>
      <c r="E203" s="11" t="s">
        <v>22</v>
      </c>
      <c r="F203" s="11">
        <v>160.57</v>
      </c>
      <c r="G203" s="11">
        <v>538178630</v>
      </c>
      <c r="H203" s="11">
        <v>2</v>
      </c>
      <c r="I203" s="11">
        <f>SalesData[[#This Row],[Price]]*SalesData[[#This Row],[Quantity]]</f>
        <v>321.14</v>
      </c>
      <c r="J203" s="11" t="str">
        <f t="shared" si="3"/>
        <v>Low</v>
      </c>
      <c r="K203" s="21" t="s">
        <v>290</v>
      </c>
    </row>
    <row r="204" spans="1:11">
      <c r="A204" s="10">
        <v>43775</v>
      </c>
      <c r="B204" s="11" t="s">
        <v>9</v>
      </c>
      <c r="C204" s="11">
        <v>4804056</v>
      </c>
      <c r="D204" s="11" t="s">
        <v>33</v>
      </c>
      <c r="E204" s="11" t="s">
        <v>22</v>
      </c>
      <c r="F204" s="11">
        <v>160.57</v>
      </c>
      <c r="G204" s="11">
        <v>538178630</v>
      </c>
      <c r="H204" s="11">
        <v>2</v>
      </c>
      <c r="I204" s="11">
        <f>SalesData[[#This Row],[Price]]*SalesData[[#This Row],[Quantity]]</f>
        <v>321.14</v>
      </c>
      <c r="J204" s="11" t="str">
        <f t="shared" si="3"/>
        <v>Low</v>
      </c>
      <c r="K204" s="21" t="s">
        <v>290</v>
      </c>
    </row>
    <row r="205" spans="1:11">
      <c r="A205" s="10">
        <v>43770</v>
      </c>
      <c r="B205" s="11" t="s">
        <v>9</v>
      </c>
      <c r="C205" s="11">
        <v>26300081</v>
      </c>
      <c r="D205" s="11" t="s">
        <v>235</v>
      </c>
      <c r="E205" s="11" t="s">
        <v>14</v>
      </c>
      <c r="F205" s="11">
        <v>437.85</v>
      </c>
      <c r="G205" s="11">
        <v>563666003</v>
      </c>
      <c r="H205" s="11">
        <v>5</v>
      </c>
      <c r="I205" s="11">
        <f>SalesData[[#This Row],[Price]]*SalesData[[#This Row],[Quantity]]</f>
        <v>2189.25</v>
      </c>
      <c r="J205" s="11" t="str">
        <f t="shared" si="3"/>
        <v>Low</v>
      </c>
      <c r="K205" s="21" t="s">
        <v>235</v>
      </c>
    </row>
    <row r="206" spans="1:11">
      <c r="A206" s="10">
        <v>43773</v>
      </c>
      <c r="B206" s="11" t="s">
        <v>9</v>
      </c>
      <c r="C206" s="11">
        <v>1306650</v>
      </c>
      <c r="D206" s="11" t="s">
        <v>69</v>
      </c>
      <c r="E206" s="11" t="s">
        <v>94</v>
      </c>
      <c r="F206" s="11">
        <v>437.57</v>
      </c>
      <c r="G206" s="11">
        <v>513306883</v>
      </c>
      <c r="H206" s="11">
        <v>4</v>
      </c>
      <c r="I206" s="11">
        <f>SalesData[[#This Row],[Price]]*SalesData[[#This Row],[Quantity]]</f>
        <v>1750.28</v>
      </c>
      <c r="J206" s="11" t="str">
        <f t="shared" si="3"/>
        <v>Low</v>
      </c>
      <c r="K206" s="21" t="s">
        <v>291</v>
      </c>
    </row>
    <row r="207" spans="1:11">
      <c r="A207" s="10">
        <v>43781</v>
      </c>
      <c r="B207" s="11" t="s">
        <v>9</v>
      </c>
      <c r="C207" s="11">
        <v>17200651</v>
      </c>
      <c r="D207" s="11" t="s">
        <v>79</v>
      </c>
      <c r="E207" s="11" t="s">
        <v>235</v>
      </c>
      <c r="F207" s="11">
        <v>437.33</v>
      </c>
      <c r="G207" s="11">
        <v>566176246</v>
      </c>
      <c r="H207" s="11">
        <v>3</v>
      </c>
      <c r="I207" s="11">
        <f>SalesData[[#This Row],[Price]]*SalesData[[#This Row],[Quantity]]</f>
        <v>1311.99</v>
      </c>
      <c r="J207" s="11" t="str">
        <f t="shared" si="3"/>
        <v>Low</v>
      </c>
      <c r="K207" s="21" t="s">
        <v>293</v>
      </c>
    </row>
    <row r="208" spans="1:11">
      <c r="A208" s="10">
        <v>43777</v>
      </c>
      <c r="B208" s="11" t="s">
        <v>9</v>
      </c>
      <c r="C208" s="11">
        <v>4804056</v>
      </c>
      <c r="D208" s="11" t="s">
        <v>33</v>
      </c>
      <c r="E208" s="11" t="s">
        <v>22</v>
      </c>
      <c r="F208" s="11">
        <v>160.57</v>
      </c>
      <c r="G208" s="11">
        <v>538178630</v>
      </c>
      <c r="H208" s="11">
        <v>4</v>
      </c>
      <c r="I208" s="11">
        <f>SalesData[[#This Row],[Price]]*SalesData[[#This Row],[Quantity]]</f>
        <v>642.28</v>
      </c>
      <c r="J208" s="11" t="str">
        <f t="shared" si="3"/>
        <v>Low</v>
      </c>
      <c r="K208" s="21" t="s">
        <v>290</v>
      </c>
    </row>
    <row r="209" spans="1:11">
      <c r="A209" s="10">
        <v>43775</v>
      </c>
      <c r="B209" s="11" t="s">
        <v>9</v>
      </c>
      <c r="C209" s="11">
        <v>1005101</v>
      </c>
      <c r="D209" s="11" t="s">
        <v>11</v>
      </c>
      <c r="E209" s="11" t="s">
        <v>12</v>
      </c>
      <c r="F209" s="11">
        <v>431.4</v>
      </c>
      <c r="G209" s="11">
        <v>563566070</v>
      </c>
      <c r="H209" s="11">
        <v>2</v>
      </c>
      <c r="I209" s="11">
        <f>SalesData[[#This Row],[Price]]*SalesData[[#This Row],[Quantity]]</f>
        <v>862.8</v>
      </c>
      <c r="J209" s="11" t="str">
        <f t="shared" si="3"/>
        <v>Low</v>
      </c>
      <c r="K209" s="21" t="s">
        <v>290</v>
      </c>
    </row>
    <row r="210" spans="1:11">
      <c r="A210" s="10">
        <v>43775</v>
      </c>
      <c r="B210" s="11" t="s">
        <v>9</v>
      </c>
      <c r="C210" s="11">
        <v>13201206</v>
      </c>
      <c r="D210" s="11" t="s">
        <v>10</v>
      </c>
      <c r="E210" s="11" t="s">
        <v>235</v>
      </c>
      <c r="F210" s="11">
        <v>424.72</v>
      </c>
      <c r="G210" s="11">
        <v>560134869</v>
      </c>
      <c r="H210" s="11">
        <v>2</v>
      </c>
      <c r="I210" s="11">
        <f>SalesData[[#This Row],[Price]]*SalesData[[#This Row],[Quantity]]</f>
        <v>849.44</v>
      </c>
      <c r="J210" s="11" t="str">
        <f t="shared" si="3"/>
        <v>Low</v>
      </c>
      <c r="K210" s="21" t="s">
        <v>293</v>
      </c>
    </row>
    <row r="211" spans="1:11">
      <c r="A211" s="10">
        <v>43778</v>
      </c>
      <c r="B211" s="11" t="s">
        <v>9</v>
      </c>
      <c r="C211" s="11">
        <v>13201206</v>
      </c>
      <c r="D211" s="11" t="s">
        <v>10</v>
      </c>
      <c r="E211" s="11" t="s">
        <v>235</v>
      </c>
      <c r="F211" s="11">
        <v>424.72</v>
      </c>
      <c r="G211" s="11">
        <v>560134869</v>
      </c>
      <c r="H211" s="11">
        <v>4</v>
      </c>
      <c r="I211" s="11">
        <f>SalesData[[#This Row],[Price]]*SalesData[[#This Row],[Quantity]]</f>
        <v>1698.88</v>
      </c>
      <c r="J211" s="11" t="str">
        <f t="shared" si="3"/>
        <v>Low</v>
      </c>
      <c r="K211" s="21" t="s">
        <v>293</v>
      </c>
    </row>
    <row r="212" spans="1:11">
      <c r="A212" s="10">
        <v>43782</v>
      </c>
      <c r="B212" s="11" t="s">
        <v>9</v>
      </c>
      <c r="C212" s="11">
        <v>4804056</v>
      </c>
      <c r="D212" s="11" t="s">
        <v>33</v>
      </c>
      <c r="E212" s="11" t="s">
        <v>22</v>
      </c>
      <c r="F212" s="11">
        <v>160.57</v>
      </c>
      <c r="G212" s="11">
        <v>513170847</v>
      </c>
      <c r="H212" s="11">
        <v>1</v>
      </c>
      <c r="I212" s="11">
        <f>SalesData[[#This Row],[Price]]*SalesData[[#This Row],[Quantity]]</f>
        <v>160.57</v>
      </c>
      <c r="J212" s="11" t="str">
        <f t="shared" si="3"/>
        <v>Low</v>
      </c>
      <c r="K212" s="21" t="s">
        <v>290</v>
      </c>
    </row>
    <row r="213" spans="1:11">
      <c r="A213" s="10">
        <v>43774</v>
      </c>
      <c r="B213" s="11" t="s">
        <v>9</v>
      </c>
      <c r="C213" s="11">
        <v>26404594</v>
      </c>
      <c r="D213" s="11" t="s">
        <v>235</v>
      </c>
      <c r="E213" s="11" t="s">
        <v>235</v>
      </c>
      <c r="F213" s="11">
        <v>422.92</v>
      </c>
      <c r="G213" s="11">
        <v>526141136</v>
      </c>
      <c r="H213" s="11">
        <v>1</v>
      </c>
      <c r="I213" s="11">
        <f>SalesData[[#This Row],[Price]]*SalesData[[#This Row],[Quantity]]</f>
        <v>422.92</v>
      </c>
      <c r="J213" s="11" t="str">
        <f t="shared" si="3"/>
        <v>Low</v>
      </c>
      <c r="K213" s="21" t="s">
        <v>235</v>
      </c>
    </row>
    <row r="214" spans="1:11">
      <c r="A214" s="10">
        <v>43778</v>
      </c>
      <c r="B214" s="11" t="s">
        <v>9</v>
      </c>
      <c r="C214" s="11">
        <v>4000112</v>
      </c>
      <c r="D214" s="11" t="s">
        <v>43</v>
      </c>
      <c r="E214" s="11" t="s">
        <v>85</v>
      </c>
      <c r="F214" s="11">
        <v>411.77</v>
      </c>
      <c r="G214" s="11">
        <v>540499928</v>
      </c>
      <c r="H214" s="11">
        <v>2</v>
      </c>
      <c r="I214" s="11">
        <f>SalesData[[#This Row],[Price]]*SalesData[[#This Row],[Quantity]]</f>
        <v>823.54</v>
      </c>
      <c r="J214" s="11" t="str">
        <f t="shared" si="3"/>
        <v>Low</v>
      </c>
      <c r="K214" s="21" t="s">
        <v>294</v>
      </c>
    </row>
    <row r="215" spans="1:11">
      <c r="A215" s="10">
        <v>43778</v>
      </c>
      <c r="B215" s="11" t="s">
        <v>9</v>
      </c>
      <c r="C215" s="11">
        <v>4804056</v>
      </c>
      <c r="D215" s="11" t="s">
        <v>33</v>
      </c>
      <c r="E215" s="11" t="s">
        <v>22</v>
      </c>
      <c r="F215" s="11">
        <v>160.57</v>
      </c>
      <c r="G215" s="11">
        <v>545485472</v>
      </c>
      <c r="H215" s="11">
        <v>4</v>
      </c>
      <c r="I215" s="11">
        <f>SalesData[[#This Row],[Price]]*SalesData[[#This Row],[Quantity]]</f>
        <v>642.28</v>
      </c>
      <c r="J215" s="11" t="str">
        <f t="shared" si="3"/>
        <v>Low</v>
      </c>
      <c r="K215" s="21" t="s">
        <v>290</v>
      </c>
    </row>
    <row r="216" spans="1:11">
      <c r="A216" s="10">
        <v>43778</v>
      </c>
      <c r="B216" s="11" t="s">
        <v>9</v>
      </c>
      <c r="C216" s="11">
        <v>4100291</v>
      </c>
      <c r="D216" s="11" t="s">
        <v>235</v>
      </c>
      <c r="E216" s="11" t="s">
        <v>26</v>
      </c>
      <c r="F216" s="11">
        <v>411.57</v>
      </c>
      <c r="G216" s="11">
        <v>521793571</v>
      </c>
      <c r="H216" s="11">
        <v>3</v>
      </c>
      <c r="I216" s="11">
        <f>SalesData[[#This Row],[Price]]*SalesData[[#This Row],[Quantity]]</f>
        <v>1234.71</v>
      </c>
      <c r="J216" s="11" t="str">
        <f t="shared" si="3"/>
        <v>Low</v>
      </c>
      <c r="K216" s="21" t="s">
        <v>235</v>
      </c>
    </row>
    <row r="217" spans="1:11">
      <c r="A217" s="10">
        <v>43770</v>
      </c>
      <c r="B217" s="11" t="s">
        <v>9</v>
      </c>
      <c r="C217" s="11">
        <v>4100291</v>
      </c>
      <c r="D217" s="11" t="s">
        <v>235</v>
      </c>
      <c r="E217" s="11" t="s">
        <v>26</v>
      </c>
      <c r="F217" s="11">
        <v>411.57</v>
      </c>
      <c r="G217" s="11">
        <v>521793571</v>
      </c>
      <c r="H217" s="11">
        <v>4</v>
      </c>
      <c r="I217" s="11">
        <f>SalesData[[#This Row],[Price]]*SalesData[[#This Row],[Quantity]]</f>
        <v>1646.28</v>
      </c>
      <c r="J217" s="11" t="str">
        <f t="shared" si="3"/>
        <v>Low</v>
      </c>
      <c r="K217" s="21" t="s">
        <v>235</v>
      </c>
    </row>
    <row r="218" spans="1:11">
      <c r="A218" s="10">
        <v>43781</v>
      </c>
      <c r="B218" s="11" t="s">
        <v>9</v>
      </c>
      <c r="C218" s="11">
        <v>4100291</v>
      </c>
      <c r="D218" s="11" t="s">
        <v>235</v>
      </c>
      <c r="E218" s="11" t="s">
        <v>26</v>
      </c>
      <c r="F218" s="11">
        <v>411.57</v>
      </c>
      <c r="G218" s="11">
        <v>521793571</v>
      </c>
      <c r="H218" s="11">
        <v>1</v>
      </c>
      <c r="I218" s="11">
        <f>SalesData[[#This Row],[Price]]*SalesData[[#This Row],[Quantity]]</f>
        <v>411.57</v>
      </c>
      <c r="J218" s="11" t="str">
        <f t="shared" si="3"/>
        <v>Low</v>
      </c>
      <c r="K218" s="21" t="s">
        <v>235</v>
      </c>
    </row>
    <row r="219" spans="1:11">
      <c r="A219" s="10">
        <v>43772</v>
      </c>
      <c r="B219" s="11" t="s">
        <v>9</v>
      </c>
      <c r="C219" s="11">
        <v>4804056</v>
      </c>
      <c r="D219" s="11" t="s">
        <v>33</v>
      </c>
      <c r="E219" s="11" t="s">
        <v>22</v>
      </c>
      <c r="F219" s="11">
        <v>160.57</v>
      </c>
      <c r="G219" s="11">
        <v>528133044</v>
      </c>
      <c r="H219" s="11">
        <v>2</v>
      </c>
      <c r="I219" s="11">
        <f>SalesData[[#This Row],[Price]]*SalesData[[#This Row],[Quantity]]</f>
        <v>321.14</v>
      </c>
      <c r="J219" s="11" t="str">
        <f t="shared" si="3"/>
        <v>Low</v>
      </c>
      <c r="K219" s="21" t="s">
        <v>290</v>
      </c>
    </row>
    <row r="220" spans="1:11">
      <c r="A220" s="10">
        <v>43778</v>
      </c>
      <c r="B220" s="11" t="s">
        <v>9</v>
      </c>
      <c r="C220" s="11">
        <v>1801539</v>
      </c>
      <c r="D220" s="11" t="s">
        <v>15</v>
      </c>
      <c r="E220" s="11" t="s">
        <v>92</v>
      </c>
      <c r="F220" s="11">
        <v>406.7</v>
      </c>
      <c r="G220" s="11">
        <v>516121944</v>
      </c>
      <c r="H220" s="11">
        <v>3</v>
      </c>
      <c r="I220" s="11">
        <f>SalesData[[#This Row],[Price]]*SalesData[[#This Row],[Quantity]]</f>
        <v>1220.0999999999999</v>
      </c>
      <c r="J220" s="11" t="str">
        <f t="shared" si="3"/>
        <v>Low</v>
      </c>
      <c r="K220" s="21" t="s">
        <v>290</v>
      </c>
    </row>
    <row r="221" spans="1:11">
      <c r="A221" s="10">
        <v>43775</v>
      </c>
      <c r="B221" s="11" t="s">
        <v>9</v>
      </c>
      <c r="C221" s="11">
        <v>1003441</v>
      </c>
      <c r="D221" s="11" t="s">
        <v>11</v>
      </c>
      <c r="E221" s="11" t="s">
        <v>143</v>
      </c>
      <c r="F221" s="11">
        <v>406.67</v>
      </c>
      <c r="G221" s="11">
        <v>566299632</v>
      </c>
      <c r="H221" s="11">
        <v>3</v>
      </c>
      <c r="I221" s="11">
        <f>SalesData[[#This Row],[Price]]*SalesData[[#This Row],[Quantity]]</f>
        <v>1220.01</v>
      </c>
      <c r="J221" s="11" t="str">
        <f t="shared" si="3"/>
        <v>Low</v>
      </c>
      <c r="K221" s="21" t="s">
        <v>290</v>
      </c>
    </row>
    <row r="222" spans="1:11">
      <c r="A222" s="10">
        <v>43780</v>
      </c>
      <c r="B222" s="11" t="s">
        <v>9</v>
      </c>
      <c r="C222" s="11">
        <v>4804056</v>
      </c>
      <c r="D222" s="11" t="s">
        <v>33</v>
      </c>
      <c r="E222" s="11" t="s">
        <v>22</v>
      </c>
      <c r="F222" s="11">
        <v>160.57</v>
      </c>
      <c r="G222" s="11">
        <v>513052669</v>
      </c>
      <c r="H222" s="11">
        <v>2</v>
      </c>
      <c r="I222" s="11">
        <f>SalesData[[#This Row],[Price]]*SalesData[[#This Row],[Quantity]]</f>
        <v>321.14</v>
      </c>
      <c r="J222" s="11" t="str">
        <f t="shared" si="3"/>
        <v>Low</v>
      </c>
      <c r="K222" s="21" t="s">
        <v>290</v>
      </c>
    </row>
    <row r="223" spans="1:11">
      <c r="A223" s="10">
        <v>43779</v>
      </c>
      <c r="B223" s="11" t="s">
        <v>9</v>
      </c>
      <c r="C223" s="11">
        <v>4804056</v>
      </c>
      <c r="D223" s="11" t="s">
        <v>33</v>
      </c>
      <c r="E223" s="11" t="s">
        <v>22</v>
      </c>
      <c r="F223" s="11">
        <v>160.57</v>
      </c>
      <c r="G223" s="11">
        <v>543264125</v>
      </c>
      <c r="H223" s="11">
        <v>1</v>
      </c>
      <c r="I223" s="11">
        <f>SalesData[[#This Row],[Price]]*SalesData[[#This Row],[Quantity]]</f>
        <v>160.57</v>
      </c>
      <c r="J223" s="11" t="str">
        <f t="shared" si="3"/>
        <v>Low</v>
      </c>
      <c r="K223" s="21" t="s">
        <v>290</v>
      </c>
    </row>
    <row r="224" spans="1:11">
      <c r="A224" s="10">
        <v>43783</v>
      </c>
      <c r="B224" s="11" t="s">
        <v>9</v>
      </c>
      <c r="C224" s="11">
        <v>4804056</v>
      </c>
      <c r="D224" s="11" t="s">
        <v>33</v>
      </c>
      <c r="E224" s="11" t="s">
        <v>22</v>
      </c>
      <c r="F224" s="11">
        <v>160.57</v>
      </c>
      <c r="G224" s="11">
        <v>566296522</v>
      </c>
      <c r="H224" s="11">
        <v>2</v>
      </c>
      <c r="I224" s="11">
        <f>SalesData[[#This Row],[Price]]*SalesData[[#This Row],[Quantity]]</f>
        <v>321.14</v>
      </c>
      <c r="J224" s="11" t="str">
        <f t="shared" si="3"/>
        <v>Low</v>
      </c>
      <c r="K224" s="21" t="s">
        <v>290</v>
      </c>
    </row>
    <row r="225" spans="1:11">
      <c r="A225" s="10">
        <v>43780</v>
      </c>
      <c r="B225" s="11" t="s">
        <v>9</v>
      </c>
      <c r="C225" s="11">
        <v>1005234</v>
      </c>
      <c r="D225" s="11" t="s">
        <v>11</v>
      </c>
      <c r="E225" s="11" t="s">
        <v>12</v>
      </c>
      <c r="F225" s="11">
        <v>398.72</v>
      </c>
      <c r="G225" s="11">
        <v>512964148</v>
      </c>
      <c r="H225" s="11">
        <v>5</v>
      </c>
      <c r="I225" s="11">
        <f>SalesData[[#This Row],[Price]]*SalesData[[#This Row],[Quantity]]</f>
        <v>1993.6000000000001</v>
      </c>
      <c r="J225" s="11" t="str">
        <f t="shared" si="3"/>
        <v>Low</v>
      </c>
      <c r="K225" s="21" t="s">
        <v>290</v>
      </c>
    </row>
    <row r="226" spans="1:11">
      <c r="A226" s="10">
        <v>43770</v>
      </c>
      <c r="B226" s="11" t="s">
        <v>9</v>
      </c>
      <c r="C226" s="11">
        <v>1307279</v>
      </c>
      <c r="D226" s="11" t="s">
        <v>69</v>
      </c>
      <c r="E226" s="11" t="s">
        <v>123</v>
      </c>
      <c r="F226" s="11">
        <v>397.93</v>
      </c>
      <c r="G226" s="11">
        <v>535812909</v>
      </c>
      <c r="H226" s="11">
        <v>1</v>
      </c>
      <c r="I226" s="11">
        <f>SalesData[[#This Row],[Price]]*SalesData[[#This Row],[Quantity]]</f>
        <v>397.93</v>
      </c>
      <c r="J226" s="11" t="str">
        <f t="shared" si="3"/>
        <v>Low</v>
      </c>
      <c r="K226" s="21" t="s">
        <v>291</v>
      </c>
    </row>
    <row r="227" spans="1:11">
      <c r="A227" s="10">
        <v>43779</v>
      </c>
      <c r="B227" s="11" t="s">
        <v>9</v>
      </c>
      <c r="C227" s="11">
        <v>4100346</v>
      </c>
      <c r="D227" s="11" t="s">
        <v>235</v>
      </c>
      <c r="E227" s="11" t="s">
        <v>26</v>
      </c>
      <c r="F227" s="11">
        <v>394.14</v>
      </c>
      <c r="G227" s="11">
        <v>521793571</v>
      </c>
      <c r="H227" s="11">
        <v>3</v>
      </c>
      <c r="I227" s="11">
        <f>SalesData[[#This Row],[Price]]*SalesData[[#This Row],[Quantity]]</f>
        <v>1182.42</v>
      </c>
      <c r="J227" s="11" t="str">
        <f t="shared" si="3"/>
        <v>Low</v>
      </c>
      <c r="K227" s="21" t="s">
        <v>235</v>
      </c>
    </row>
    <row r="228" spans="1:11">
      <c r="A228" s="10">
        <v>43773</v>
      </c>
      <c r="B228" s="11" t="s">
        <v>9</v>
      </c>
      <c r="C228" s="11">
        <v>4100346</v>
      </c>
      <c r="D228" s="11" t="s">
        <v>235</v>
      </c>
      <c r="E228" s="11" t="s">
        <v>26</v>
      </c>
      <c r="F228" s="11">
        <v>394.14</v>
      </c>
      <c r="G228" s="11">
        <v>521793571</v>
      </c>
      <c r="H228" s="11">
        <v>1</v>
      </c>
      <c r="I228" s="11">
        <f>SalesData[[#This Row],[Price]]*SalesData[[#This Row],[Quantity]]</f>
        <v>394.14</v>
      </c>
      <c r="J228" s="11" t="str">
        <f t="shared" si="3"/>
        <v>Low</v>
      </c>
      <c r="K228" s="21" t="s">
        <v>235</v>
      </c>
    </row>
    <row r="229" spans="1:11">
      <c r="A229" s="10">
        <v>43774</v>
      </c>
      <c r="B229" s="11" t="s">
        <v>9</v>
      </c>
      <c r="C229" s="11">
        <v>1004219</v>
      </c>
      <c r="D229" s="11" t="s">
        <v>11</v>
      </c>
      <c r="E229" s="11" t="s">
        <v>12</v>
      </c>
      <c r="F229" s="11">
        <v>385.85</v>
      </c>
      <c r="G229" s="11">
        <v>544404842</v>
      </c>
      <c r="H229" s="11">
        <v>2</v>
      </c>
      <c r="I229" s="11">
        <f>SalesData[[#This Row],[Price]]*SalesData[[#This Row],[Quantity]]</f>
        <v>771.7</v>
      </c>
      <c r="J229" s="11" t="str">
        <f t="shared" si="3"/>
        <v>Low</v>
      </c>
      <c r="K229" s="21" t="s">
        <v>290</v>
      </c>
    </row>
    <row r="230" spans="1:11">
      <c r="A230" s="10">
        <v>43773</v>
      </c>
      <c r="B230" s="11" t="s">
        <v>9</v>
      </c>
      <c r="C230" s="11">
        <v>11800030</v>
      </c>
      <c r="D230" s="11" t="s">
        <v>235</v>
      </c>
      <c r="E230" s="11" t="s">
        <v>26</v>
      </c>
      <c r="F230" s="11">
        <v>380.7</v>
      </c>
      <c r="G230" s="11">
        <v>513590675</v>
      </c>
      <c r="H230" s="11">
        <v>4</v>
      </c>
      <c r="I230" s="11">
        <f>SalesData[[#This Row],[Price]]*SalesData[[#This Row],[Quantity]]</f>
        <v>1522.8</v>
      </c>
      <c r="J230" s="11" t="str">
        <f t="shared" si="3"/>
        <v>Low</v>
      </c>
      <c r="K230" s="21" t="s">
        <v>235</v>
      </c>
    </row>
    <row r="231" spans="1:11">
      <c r="A231" s="10">
        <v>43783</v>
      </c>
      <c r="B231" s="11" t="s">
        <v>9</v>
      </c>
      <c r="C231" s="11">
        <v>15100148</v>
      </c>
      <c r="D231" s="11" t="s">
        <v>235</v>
      </c>
      <c r="E231" s="11" t="s">
        <v>194</v>
      </c>
      <c r="F231" s="11">
        <v>378.36</v>
      </c>
      <c r="G231" s="11">
        <v>548507462</v>
      </c>
      <c r="H231" s="11">
        <v>1</v>
      </c>
      <c r="I231" s="11">
        <f>SalesData[[#This Row],[Price]]*SalesData[[#This Row],[Quantity]]</f>
        <v>378.36</v>
      </c>
      <c r="J231" s="11" t="str">
        <f t="shared" si="3"/>
        <v>Low</v>
      </c>
      <c r="K231" s="21" t="s">
        <v>235</v>
      </c>
    </row>
    <row r="232" spans="1:11">
      <c r="A232" s="10">
        <v>43782</v>
      </c>
      <c r="B232" s="11" t="s">
        <v>9</v>
      </c>
      <c r="C232" s="11">
        <v>12400328</v>
      </c>
      <c r="D232" s="11" t="s">
        <v>116</v>
      </c>
      <c r="E232" s="11" t="s">
        <v>122</v>
      </c>
      <c r="F232" s="11">
        <v>377.04</v>
      </c>
      <c r="G232" s="11">
        <v>515055282</v>
      </c>
      <c r="H232" s="11">
        <v>1</v>
      </c>
      <c r="I232" s="11">
        <f>SalesData[[#This Row],[Price]]*SalesData[[#This Row],[Quantity]]</f>
        <v>377.04</v>
      </c>
      <c r="J232" s="11" t="str">
        <f t="shared" si="3"/>
        <v>Low</v>
      </c>
      <c r="K232" s="21" t="s">
        <v>294</v>
      </c>
    </row>
    <row r="233" spans="1:11">
      <c r="A233" s="10">
        <v>43771</v>
      </c>
      <c r="B233" s="11" t="s">
        <v>9</v>
      </c>
      <c r="C233" s="11">
        <v>21405495</v>
      </c>
      <c r="D233" s="11" t="s">
        <v>45</v>
      </c>
      <c r="E233" s="11" t="s">
        <v>235</v>
      </c>
      <c r="F233" s="11">
        <v>372.73</v>
      </c>
      <c r="G233" s="11">
        <v>513849803</v>
      </c>
      <c r="H233" s="11">
        <v>1</v>
      </c>
      <c r="I233" s="11">
        <f>SalesData[[#This Row],[Price]]*SalesData[[#This Row],[Quantity]]</f>
        <v>372.73</v>
      </c>
      <c r="J233" s="11" t="str">
        <f t="shared" si="3"/>
        <v>Low</v>
      </c>
      <c r="K233" s="21" t="s">
        <v>290</v>
      </c>
    </row>
    <row r="234" spans="1:11">
      <c r="A234" s="10">
        <v>43771</v>
      </c>
      <c r="B234" s="11" t="s">
        <v>9</v>
      </c>
      <c r="C234" s="11">
        <v>15100383</v>
      </c>
      <c r="D234" s="11" t="s">
        <v>235</v>
      </c>
      <c r="E234" s="11" t="s">
        <v>235</v>
      </c>
      <c r="F234" s="11">
        <v>370.13</v>
      </c>
      <c r="G234" s="11">
        <v>566285050</v>
      </c>
      <c r="H234" s="11">
        <v>1</v>
      </c>
      <c r="I234" s="11">
        <f>SalesData[[#This Row],[Price]]*SalesData[[#This Row],[Quantity]]</f>
        <v>370.13</v>
      </c>
      <c r="J234" s="11" t="str">
        <f t="shared" si="3"/>
        <v>Low</v>
      </c>
      <c r="K234" s="21" t="s">
        <v>235</v>
      </c>
    </row>
    <row r="235" spans="1:11">
      <c r="A235" s="10">
        <v>43775</v>
      </c>
      <c r="B235" s="11" t="s">
        <v>9</v>
      </c>
      <c r="C235" s="11">
        <v>4804056</v>
      </c>
      <c r="D235" s="11" t="s">
        <v>33</v>
      </c>
      <c r="E235" s="11" t="s">
        <v>22</v>
      </c>
      <c r="F235" s="11">
        <v>160.57</v>
      </c>
      <c r="G235" s="11">
        <v>566296522</v>
      </c>
      <c r="H235" s="11">
        <v>5</v>
      </c>
      <c r="I235" s="11">
        <f>SalesData[[#This Row],[Price]]*SalesData[[#This Row],[Quantity]]</f>
        <v>802.84999999999991</v>
      </c>
      <c r="J235" s="11" t="str">
        <f t="shared" si="3"/>
        <v>Low</v>
      </c>
      <c r="K235" s="21" t="s">
        <v>290</v>
      </c>
    </row>
    <row r="236" spans="1:11">
      <c r="A236" s="10">
        <v>43772</v>
      </c>
      <c r="B236" s="11" t="s">
        <v>9</v>
      </c>
      <c r="C236" s="11">
        <v>4804056</v>
      </c>
      <c r="D236" s="11" t="s">
        <v>33</v>
      </c>
      <c r="E236" s="11" t="s">
        <v>22</v>
      </c>
      <c r="F236" s="11">
        <v>160.57</v>
      </c>
      <c r="G236" s="11">
        <v>531021848</v>
      </c>
      <c r="H236" s="11">
        <v>4</v>
      </c>
      <c r="I236" s="11">
        <f>SalesData[[#This Row],[Price]]*SalesData[[#This Row],[Quantity]]</f>
        <v>642.28</v>
      </c>
      <c r="J236" s="11" t="str">
        <f t="shared" si="3"/>
        <v>Low</v>
      </c>
      <c r="K236" s="21" t="s">
        <v>290</v>
      </c>
    </row>
    <row r="237" spans="1:11">
      <c r="A237" s="10">
        <v>43772</v>
      </c>
      <c r="B237" s="11" t="s">
        <v>9</v>
      </c>
      <c r="C237" s="11">
        <v>4804056</v>
      </c>
      <c r="D237" s="11" t="s">
        <v>33</v>
      </c>
      <c r="E237" s="11" t="s">
        <v>22</v>
      </c>
      <c r="F237" s="11">
        <v>160.57</v>
      </c>
      <c r="G237" s="11">
        <v>518098261</v>
      </c>
      <c r="H237" s="11">
        <v>2</v>
      </c>
      <c r="I237" s="11">
        <f>SalesData[[#This Row],[Price]]*SalesData[[#This Row],[Quantity]]</f>
        <v>321.14</v>
      </c>
      <c r="J237" s="11" t="str">
        <f t="shared" si="3"/>
        <v>Low</v>
      </c>
      <c r="K237" s="21" t="s">
        <v>290</v>
      </c>
    </row>
    <row r="238" spans="1:11">
      <c r="A238" s="10">
        <v>43780</v>
      </c>
      <c r="B238" s="11" t="s">
        <v>9</v>
      </c>
      <c r="C238" s="11">
        <v>6700940</v>
      </c>
      <c r="D238" s="11" t="s">
        <v>74</v>
      </c>
      <c r="E238" s="11" t="s">
        <v>154</v>
      </c>
      <c r="F238" s="11">
        <v>363.15</v>
      </c>
      <c r="G238" s="11">
        <v>515749131</v>
      </c>
      <c r="H238" s="11">
        <v>5</v>
      </c>
      <c r="I238" s="11">
        <f>SalesData[[#This Row],[Price]]*SalesData[[#This Row],[Quantity]]</f>
        <v>1815.75</v>
      </c>
      <c r="J238" s="11" t="str">
        <f t="shared" si="3"/>
        <v>Low</v>
      </c>
      <c r="K238" s="21" t="s">
        <v>291</v>
      </c>
    </row>
    <row r="239" spans="1:11">
      <c r="A239" s="10">
        <v>43774</v>
      </c>
      <c r="B239" s="11" t="s">
        <v>9</v>
      </c>
      <c r="C239" s="11">
        <v>4804056</v>
      </c>
      <c r="D239" s="11" t="s">
        <v>33</v>
      </c>
      <c r="E239" s="11" t="s">
        <v>22</v>
      </c>
      <c r="F239" s="11">
        <v>160.57</v>
      </c>
      <c r="G239" s="11">
        <v>554982396</v>
      </c>
      <c r="H239" s="11">
        <v>2</v>
      </c>
      <c r="I239" s="11">
        <f>SalesData[[#This Row],[Price]]*SalesData[[#This Row],[Quantity]]</f>
        <v>321.14</v>
      </c>
      <c r="J239" s="11" t="str">
        <f t="shared" si="3"/>
        <v>Low</v>
      </c>
      <c r="K239" s="21" t="s">
        <v>290</v>
      </c>
    </row>
    <row r="240" spans="1:11">
      <c r="A240" s="10">
        <v>43773</v>
      </c>
      <c r="B240" s="11" t="s">
        <v>9</v>
      </c>
      <c r="C240" s="11">
        <v>4804056</v>
      </c>
      <c r="D240" s="11" t="s">
        <v>33</v>
      </c>
      <c r="E240" s="11" t="s">
        <v>22</v>
      </c>
      <c r="F240" s="11">
        <v>160.57</v>
      </c>
      <c r="G240" s="11">
        <v>514688403</v>
      </c>
      <c r="H240" s="11">
        <v>1</v>
      </c>
      <c r="I240" s="11">
        <f>SalesData[[#This Row],[Price]]*SalesData[[#This Row],[Quantity]]</f>
        <v>160.57</v>
      </c>
      <c r="J240" s="11" t="str">
        <f t="shared" si="3"/>
        <v>Low</v>
      </c>
      <c r="K240" s="21" t="s">
        <v>290</v>
      </c>
    </row>
    <row r="241" spans="1:11">
      <c r="A241" s="10">
        <v>43773</v>
      </c>
      <c r="B241" s="11" t="s">
        <v>9</v>
      </c>
      <c r="C241" s="11">
        <v>4804056</v>
      </c>
      <c r="D241" s="11" t="s">
        <v>33</v>
      </c>
      <c r="E241" s="11" t="s">
        <v>22</v>
      </c>
      <c r="F241" s="11">
        <v>160.57</v>
      </c>
      <c r="G241" s="11">
        <v>545645366</v>
      </c>
      <c r="H241" s="11">
        <v>5</v>
      </c>
      <c r="I241" s="11">
        <f>SalesData[[#This Row],[Price]]*SalesData[[#This Row],[Quantity]]</f>
        <v>802.84999999999991</v>
      </c>
      <c r="J241" s="11" t="str">
        <f t="shared" si="3"/>
        <v>Low</v>
      </c>
      <c r="K241" s="21" t="s">
        <v>290</v>
      </c>
    </row>
    <row r="242" spans="1:11">
      <c r="A242" s="10">
        <v>43781</v>
      </c>
      <c r="B242" s="11" t="s">
        <v>9</v>
      </c>
      <c r="C242" s="11">
        <v>4804056</v>
      </c>
      <c r="D242" s="11" t="s">
        <v>33</v>
      </c>
      <c r="E242" s="11" t="s">
        <v>22</v>
      </c>
      <c r="F242" s="11">
        <v>160.57</v>
      </c>
      <c r="G242" s="11">
        <v>564678469</v>
      </c>
      <c r="H242" s="11">
        <v>3</v>
      </c>
      <c r="I242" s="11">
        <f>SalesData[[#This Row],[Price]]*SalesData[[#This Row],[Quantity]]</f>
        <v>481.71</v>
      </c>
      <c r="J242" s="11" t="str">
        <f t="shared" si="3"/>
        <v>Low</v>
      </c>
      <c r="K242" s="21" t="s">
        <v>290</v>
      </c>
    </row>
    <row r="243" spans="1:11">
      <c r="A243" s="10">
        <v>43771</v>
      </c>
      <c r="B243" s="11" t="s">
        <v>9</v>
      </c>
      <c r="C243" s="11">
        <v>4802888</v>
      </c>
      <c r="D243" s="11" t="s">
        <v>33</v>
      </c>
      <c r="E243" s="11" t="s">
        <v>22</v>
      </c>
      <c r="F243" s="11">
        <v>30.84</v>
      </c>
      <c r="G243" s="11">
        <v>516298129</v>
      </c>
      <c r="H243" s="11">
        <v>5</v>
      </c>
      <c r="I243" s="11">
        <f>SalesData[[#This Row],[Price]]*SalesData[[#This Row],[Quantity]]</f>
        <v>154.19999999999999</v>
      </c>
      <c r="J243" s="11" t="str">
        <f t="shared" si="3"/>
        <v>Low</v>
      </c>
      <c r="K243" s="21" t="s">
        <v>290</v>
      </c>
    </row>
    <row r="244" spans="1:11">
      <c r="A244" s="10">
        <v>43783</v>
      </c>
      <c r="B244" s="11" t="s">
        <v>9</v>
      </c>
      <c r="C244" s="11">
        <v>4802888</v>
      </c>
      <c r="D244" s="11" t="s">
        <v>33</v>
      </c>
      <c r="E244" s="11" t="s">
        <v>22</v>
      </c>
      <c r="F244" s="11">
        <v>30.84</v>
      </c>
      <c r="G244" s="11">
        <v>516298129</v>
      </c>
      <c r="H244" s="11">
        <v>1</v>
      </c>
      <c r="I244" s="11">
        <f>SalesData[[#This Row],[Price]]*SalesData[[#This Row],[Quantity]]</f>
        <v>30.84</v>
      </c>
      <c r="J244" s="11" t="str">
        <f t="shared" si="3"/>
        <v>Low</v>
      </c>
      <c r="K244" s="21" t="s">
        <v>290</v>
      </c>
    </row>
    <row r="245" spans="1:11">
      <c r="A245" s="10">
        <v>43779</v>
      </c>
      <c r="B245" s="11" t="s">
        <v>9</v>
      </c>
      <c r="C245" s="11">
        <v>4801946</v>
      </c>
      <c r="D245" s="11" t="s">
        <v>33</v>
      </c>
      <c r="E245" s="11" t="s">
        <v>22</v>
      </c>
      <c r="F245" s="11">
        <v>22.86</v>
      </c>
      <c r="G245" s="11">
        <v>546484519</v>
      </c>
      <c r="H245" s="11">
        <v>4</v>
      </c>
      <c r="I245" s="11">
        <f>SalesData[[#This Row],[Price]]*SalesData[[#This Row],[Quantity]]</f>
        <v>91.44</v>
      </c>
      <c r="J245" s="11" t="str">
        <f t="shared" si="3"/>
        <v>Low</v>
      </c>
      <c r="K245" s="21" t="s">
        <v>290</v>
      </c>
    </row>
    <row r="246" spans="1:11">
      <c r="A246" s="10">
        <v>43776</v>
      </c>
      <c r="B246" s="11" t="s">
        <v>9</v>
      </c>
      <c r="C246" s="11">
        <v>1005215</v>
      </c>
      <c r="D246" s="11" t="s">
        <v>11</v>
      </c>
      <c r="E246" s="11" t="s">
        <v>13</v>
      </c>
      <c r="F246" s="11">
        <v>1544.42</v>
      </c>
      <c r="G246" s="11">
        <v>539290008</v>
      </c>
      <c r="H246" s="11">
        <v>1</v>
      </c>
      <c r="I246" s="11">
        <f>SalesData[[#This Row],[Price]]*SalesData[[#This Row],[Quantity]]</f>
        <v>1544.42</v>
      </c>
      <c r="J246" s="11" t="str">
        <f t="shared" si="3"/>
        <v>High</v>
      </c>
      <c r="K246" s="21" t="s">
        <v>290</v>
      </c>
    </row>
    <row r="247" spans="1:11">
      <c r="A247" s="10">
        <v>43783</v>
      </c>
      <c r="B247" s="11" t="s">
        <v>9</v>
      </c>
      <c r="C247" s="11">
        <v>1005073</v>
      </c>
      <c r="D247" s="11" t="s">
        <v>11</v>
      </c>
      <c r="E247" s="11" t="s">
        <v>13</v>
      </c>
      <c r="F247" s="11">
        <v>1133.3599999999999</v>
      </c>
      <c r="G247" s="11">
        <v>565641692</v>
      </c>
      <c r="H247" s="11">
        <v>1</v>
      </c>
      <c r="I247" s="11">
        <f>SalesData[[#This Row],[Price]]*SalesData[[#This Row],[Quantity]]</f>
        <v>1133.3599999999999</v>
      </c>
      <c r="J247" s="11" t="str">
        <f t="shared" si="3"/>
        <v>Medium</v>
      </c>
      <c r="K247" s="21" t="s">
        <v>290</v>
      </c>
    </row>
    <row r="248" spans="1:11">
      <c r="A248" s="10">
        <v>43771</v>
      </c>
      <c r="B248" s="11" t="s">
        <v>9</v>
      </c>
      <c r="C248" s="11">
        <v>1801826</v>
      </c>
      <c r="D248" s="11" t="s">
        <v>15</v>
      </c>
      <c r="E248" s="11" t="s">
        <v>175</v>
      </c>
      <c r="F248" s="11">
        <v>359.6</v>
      </c>
      <c r="G248" s="11">
        <v>551394581</v>
      </c>
      <c r="H248" s="11">
        <v>2</v>
      </c>
      <c r="I248" s="11">
        <f>SalesData[[#This Row],[Price]]*SalesData[[#This Row],[Quantity]]</f>
        <v>719.2</v>
      </c>
      <c r="J248" s="11" t="str">
        <f t="shared" si="3"/>
        <v>Low</v>
      </c>
      <c r="K248" s="21" t="s">
        <v>290</v>
      </c>
    </row>
    <row r="249" spans="1:11">
      <c r="A249" s="10">
        <v>43784</v>
      </c>
      <c r="B249" s="11" t="s">
        <v>9</v>
      </c>
      <c r="C249" s="11">
        <v>1005073</v>
      </c>
      <c r="D249" s="11" t="s">
        <v>11</v>
      </c>
      <c r="E249" s="11" t="s">
        <v>13</v>
      </c>
      <c r="F249" s="11">
        <v>1133.3599999999999</v>
      </c>
      <c r="G249" s="11">
        <v>544076203</v>
      </c>
      <c r="H249" s="11">
        <v>2</v>
      </c>
      <c r="I249" s="11">
        <f>SalesData[[#This Row],[Price]]*SalesData[[#This Row],[Quantity]]</f>
        <v>2266.7199999999998</v>
      </c>
      <c r="J249" s="11" t="str">
        <f t="shared" si="3"/>
        <v>Medium</v>
      </c>
      <c r="K249" s="21" t="s">
        <v>290</v>
      </c>
    </row>
    <row r="250" spans="1:11">
      <c r="A250" s="10">
        <v>43782</v>
      </c>
      <c r="B250" s="11" t="s">
        <v>9</v>
      </c>
      <c r="C250" s="11">
        <v>1005176</v>
      </c>
      <c r="D250" s="11" t="s">
        <v>11</v>
      </c>
      <c r="E250" s="11" t="s">
        <v>13</v>
      </c>
      <c r="F250" s="11">
        <v>900.64</v>
      </c>
      <c r="G250" s="11">
        <v>519040762</v>
      </c>
      <c r="H250" s="11">
        <v>4</v>
      </c>
      <c r="I250" s="11">
        <f>SalesData[[#This Row],[Price]]*SalesData[[#This Row],[Quantity]]</f>
        <v>3602.56</v>
      </c>
      <c r="J250" s="11" t="str">
        <f t="shared" si="3"/>
        <v>Medium</v>
      </c>
      <c r="K250" s="21" t="s">
        <v>290</v>
      </c>
    </row>
    <row r="251" spans="1:11">
      <c r="A251" s="10">
        <v>43773</v>
      </c>
      <c r="B251" s="11" t="s">
        <v>9</v>
      </c>
      <c r="C251" s="11">
        <v>1005177</v>
      </c>
      <c r="D251" s="11" t="s">
        <v>11</v>
      </c>
      <c r="E251" s="11" t="s">
        <v>13</v>
      </c>
      <c r="F251" s="11">
        <v>900.64</v>
      </c>
      <c r="G251" s="11">
        <v>523955361</v>
      </c>
      <c r="H251" s="11">
        <v>3</v>
      </c>
      <c r="I251" s="11">
        <f>SalesData[[#This Row],[Price]]*SalesData[[#This Row],[Quantity]]</f>
        <v>2701.92</v>
      </c>
      <c r="J251" s="11" t="str">
        <f t="shared" si="3"/>
        <v>Medium</v>
      </c>
      <c r="K251" s="21" t="s">
        <v>290</v>
      </c>
    </row>
    <row r="252" spans="1:11">
      <c r="A252" s="10">
        <v>43771</v>
      </c>
      <c r="B252" s="11" t="s">
        <v>9</v>
      </c>
      <c r="C252" s="11">
        <v>1005177</v>
      </c>
      <c r="D252" s="11" t="s">
        <v>11</v>
      </c>
      <c r="E252" s="11" t="s">
        <v>13</v>
      </c>
      <c r="F252" s="11">
        <v>900.64</v>
      </c>
      <c r="G252" s="11">
        <v>523955361</v>
      </c>
      <c r="H252" s="11">
        <v>5</v>
      </c>
      <c r="I252" s="11">
        <f>SalesData[[#This Row],[Price]]*SalesData[[#This Row],[Quantity]]</f>
        <v>4503.2</v>
      </c>
      <c r="J252" s="11" t="str">
        <f t="shared" si="3"/>
        <v>Medium</v>
      </c>
      <c r="K252" s="21" t="s">
        <v>290</v>
      </c>
    </row>
    <row r="253" spans="1:11">
      <c r="A253" s="10">
        <v>43771</v>
      </c>
      <c r="B253" s="11" t="s">
        <v>9</v>
      </c>
      <c r="C253" s="11">
        <v>1005186</v>
      </c>
      <c r="D253" s="11" t="s">
        <v>11</v>
      </c>
      <c r="E253" s="11" t="s">
        <v>13</v>
      </c>
      <c r="F253" s="11">
        <v>771.94</v>
      </c>
      <c r="G253" s="11">
        <v>541898462</v>
      </c>
      <c r="H253" s="11">
        <v>1</v>
      </c>
      <c r="I253" s="11">
        <f>SalesData[[#This Row],[Price]]*SalesData[[#This Row],[Quantity]]</f>
        <v>771.94</v>
      </c>
      <c r="J253" s="11" t="str">
        <f t="shared" si="3"/>
        <v>Medium</v>
      </c>
      <c r="K253" s="21" t="s">
        <v>290</v>
      </c>
    </row>
    <row r="254" spans="1:11">
      <c r="A254" s="10">
        <v>43781</v>
      </c>
      <c r="B254" s="11" t="s">
        <v>9</v>
      </c>
      <c r="C254" s="11">
        <v>1004659</v>
      </c>
      <c r="D254" s="11" t="s">
        <v>11</v>
      </c>
      <c r="E254" s="11" t="s">
        <v>13</v>
      </c>
      <c r="F254" s="11">
        <v>717.39</v>
      </c>
      <c r="G254" s="11">
        <v>562200921</v>
      </c>
      <c r="H254" s="11">
        <v>1</v>
      </c>
      <c r="I254" s="11">
        <f>SalesData[[#This Row],[Price]]*SalesData[[#This Row],[Quantity]]</f>
        <v>717.39</v>
      </c>
      <c r="J254" s="11" t="str">
        <f t="shared" si="3"/>
        <v>Medium</v>
      </c>
      <c r="K254" s="21" t="s">
        <v>290</v>
      </c>
    </row>
    <row r="255" spans="1:11">
      <c r="A255" s="10">
        <v>43782</v>
      </c>
      <c r="B255" s="11" t="s">
        <v>9</v>
      </c>
      <c r="C255" s="11">
        <v>1004659</v>
      </c>
      <c r="D255" s="11" t="s">
        <v>11</v>
      </c>
      <c r="E255" s="11" t="s">
        <v>13</v>
      </c>
      <c r="F255" s="11">
        <v>717.39</v>
      </c>
      <c r="G255" s="11">
        <v>563342866</v>
      </c>
      <c r="H255" s="11">
        <v>2</v>
      </c>
      <c r="I255" s="11">
        <f>SalesData[[#This Row],[Price]]*SalesData[[#This Row],[Quantity]]</f>
        <v>1434.78</v>
      </c>
      <c r="J255" s="11" t="str">
        <f t="shared" si="3"/>
        <v>Medium</v>
      </c>
      <c r="K255" s="21" t="s">
        <v>290</v>
      </c>
    </row>
    <row r="256" spans="1:11">
      <c r="A256" s="10">
        <v>43771</v>
      </c>
      <c r="B256" s="11" t="s">
        <v>9</v>
      </c>
      <c r="C256" s="11">
        <v>1004659</v>
      </c>
      <c r="D256" s="11" t="s">
        <v>11</v>
      </c>
      <c r="E256" s="11" t="s">
        <v>13</v>
      </c>
      <c r="F256" s="11">
        <v>717.39</v>
      </c>
      <c r="G256" s="11">
        <v>519597486</v>
      </c>
      <c r="H256" s="11">
        <v>3</v>
      </c>
      <c r="I256" s="11">
        <f>SalesData[[#This Row],[Price]]*SalesData[[#This Row],[Quantity]]</f>
        <v>2152.17</v>
      </c>
      <c r="J256" s="11" t="str">
        <f t="shared" si="3"/>
        <v>Medium</v>
      </c>
      <c r="K256" s="21" t="s">
        <v>290</v>
      </c>
    </row>
    <row r="257" spans="1:11">
      <c r="A257" s="10">
        <v>43772</v>
      </c>
      <c r="B257" s="11" t="s">
        <v>9</v>
      </c>
      <c r="C257" s="11">
        <v>1005174</v>
      </c>
      <c r="D257" s="11" t="s">
        <v>11</v>
      </c>
      <c r="E257" s="11" t="s">
        <v>13</v>
      </c>
      <c r="F257" s="11">
        <v>643.23</v>
      </c>
      <c r="G257" s="11">
        <v>537122517</v>
      </c>
      <c r="H257" s="11">
        <v>2</v>
      </c>
      <c r="I257" s="11">
        <f>SalesData[[#This Row],[Price]]*SalesData[[#This Row],[Quantity]]</f>
        <v>1286.46</v>
      </c>
      <c r="J257" s="11" t="str">
        <f t="shared" si="3"/>
        <v>Medium</v>
      </c>
      <c r="K257" s="21" t="s">
        <v>290</v>
      </c>
    </row>
    <row r="258" spans="1:11">
      <c r="A258" s="10">
        <v>43776</v>
      </c>
      <c r="B258" s="11" t="s">
        <v>9</v>
      </c>
      <c r="C258" s="11">
        <v>1004653</v>
      </c>
      <c r="D258" s="11" t="s">
        <v>11</v>
      </c>
      <c r="E258" s="11" t="s">
        <v>13</v>
      </c>
      <c r="F258" s="11">
        <v>588.91999999999996</v>
      </c>
      <c r="G258" s="11">
        <v>514945956</v>
      </c>
      <c r="H258" s="11">
        <v>2</v>
      </c>
      <c r="I258" s="11">
        <f>SalesData[[#This Row],[Price]]*SalesData[[#This Row],[Quantity]]</f>
        <v>1177.8399999999999</v>
      </c>
      <c r="J258" s="11" t="str">
        <f t="shared" ref="J258:J321" si="4">IF(F258&lt;500, "Low", IF(F258&lt;1500, "Medium", "High"))</f>
        <v>Medium</v>
      </c>
      <c r="K258" s="21" t="s">
        <v>290</v>
      </c>
    </row>
    <row r="259" spans="1:11">
      <c r="A259" s="10">
        <v>43773</v>
      </c>
      <c r="B259" s="11" t="s">
        <v>9</v>
      </c>
      <c r="C259" s="11">
        <v>13200942</v>
      </c>
      <c r="D259" s="11" t="s">
        <v>10</v>
      </c>
      <c r="E259" s="11" t="s">
        <v>35</v>
      </c>
      <c r="F259" s="11">
        <v>356.25</v>
      </c>
      <c r="G259" s="11">
        <v>515817705</v>
      </c>
      <c r="H259" s="11">
        <v>4</v>
      </c>
      <c r="I259" s="11">
        <f>SalesData[[#This Row],[Price]]*SalesData[[#This Row],[Quantity]]</f>
        <v>1425</v>
      </c>
      <c r="J259" s="11" t="str">
        <f t="shared" si="4"/>
        <v>Low</v>
      </c>
      <c r="K259" s="21" t="s">
        <v>293</v>
      </c>
    </row>
    <row r="260" spans="1:11">
      <c r="A260" s="10">
        <v>43775</v>
      </c>
      <c r="B260" s="11" t="s">
        <v>9</v>
      </c>
      <c r="C260" s="11">
        <v>26300189</v>
      </c>
      <c r="D260" s="11" t="s">
        <v>235</v>
      </c>
      <c r="E260" s="11" t="s">
        <v>14</v>
      </c>
      <c r="F260" s="11">
        <v>351.1</v>
      </c>
      <c r="G260" s="11">
        <v>560920553</v>
      </c>
      <c r="H260" s="11">
        <v>4</v>
      </c>
      <c r="I260" s="11">
        <f>SalesData[[#This Row],[Price]]*SalesData[[#This Row],[Quantity]]</f>
        <v>1404.4</v>
      </c>
      <c r="J260" s="11" t="str">
        <f t="shared" si="4"/>
        <v>Low</v>
      </c>
      <c r="K260" s="21" t="s">
        <v>235</v>
      </c>
    </row>
    <row r="261" spans="1:11">
      <c r="A261" s="10">
        <v>43784</v>
      </c>
      <c r="B261" s="11" t="s">
        <v>9</v>
      </c>
      <c r="C261" s="11">
        <v>1802104</v>
      </c>
      <c r="D261" s="11" t="s">
        <v>15</v>
      </c>
      <c r="E261" s="11" t="s">
        <v>37</v>
      </c>
      <c r="F261" s="11">
        <v>347.49</v>
      </c>
      <c r="G261" s="11">
        <v>552335155</v>
      </c>
      <c r="H261" s="11">
        <v>2</v>
      </c>
      <c r="I261" s="11">
        <f>SalesData[[#This Row],[Price]]*SalesData[[#This Row],[Quantity]]</f>
        <v>694.98</v>
      </c>
      <c r="J261" s="11" t="str">
        <f t="shared" si="4"/>
        <v>Low</v>
      </c>
      <c r="K261" s="21" t="s">
        <v>290</v>
      </c>
    </row>
    <row r="262" spans="1:11">
      <c r="A262" s="10">
        <v>43776</v>
      </c>
      <c r="B262" s="11" t="s">
        <v>9</v>
      </c>
      <c r="C262" s="11">
        <v>1004806</v>
      </c>
      <c r="D262" s="11" t="s">
        <v>11</v>
      </c>
      <c r="E262" s="11" t="s">
        <v>12</v>
      </c>
      <c r="F262" s="11">
        <v>347.24</v>
      </c>
      <c r="G262" s="11">
        <v>523975579</v>
      </c>
      <c r="H262" s="11">
        <v>3</v>
      </c>
      <c r="I262" s="11">
        <f>SalesData[[#This Row],[Price]]*SalesData[[#This Row],[Quantity]]</f>
        <v>1041.72</v>
      </c>
      <c r="J262" s="11" t="str">
        <f t="shared" si="4"/>
        <v>Low</v>
      </c>
      <c r="K262" s="21" t="s">
        <v>290</v>
      </c>
    </row>
    <row r="263" spans="1:11">
      <c r="A263" s="10">
        <v>43778</v>
      </c>
      <c r="B263" s="11" t="s">
        <v>9</v>
      </c>
      <c r="C263" s="11">
        <v>1801631</v>
      </c>
      <c r="D263" s="11" t="s">
        <v>15</v>
      </c>
      <c r="E263" s="11" t="s">
        <v>91</v>
      </c>
      <c r="F263" s="11">
        <v>334.11</v>
      </c>
      <c r="G263" s="11">
        <v>556039638</v>
      </c>
      <c r="H263" s="11">
        <v>5</v>
      </c>
      <c r="I263" s="11">
        <f>SalesData[[#This Row],[Price]]*SalesData[[#This Row],[Quantity]]</f>
        <v>1670.5500000000002</v>
      </c>
      <c r="J263" s="11" t="str">
        <f t="shared" si="4"/>
        <v>Low</v>
      </c>
      <c r="K263" s="21" t="s">
        <v>290</v>
      </c>
    </row>
    <row r="264" spans="1:11">
      <c r="A264" s="10">
        <v>43784</v>
      </c>
      <c r="B264" s="11" t="s">
        <v>9</v>
      </c>
      <c r="C264" s="11">
        <v>1801631</v>
      </c>
      <c r="D264" s="11" t="s">
        <v>15</v>
      </c>
      <c r="E264" s="11" t="s">
        <v>91</v>
      </c>
      <c r="F264" s="11">
        <v>334.11</v>
      </c>
      <c r="G264" s="11">
        <v>565274818</v>
      </c>
      <c r="H264" s="11">
        <v>1</v>
      </c>
      <c r="I264" s="11">
        <f>SalesData[[#This Row],[Price]]*SalesData[[#This Row],[Quantity]]</f>
        <v>334.11</v>
      </c>
      <c r="J264" s="11" t="str">
        <f t="shared" si="4"/>
        <v>Low</v>
      </c>
      <c r="K264" s="21" t="s">
        <v>290</v>
      </c>
    </row>
    <row r="265" spans="1:11">
      <c r="A265" s="10">
        <v>43780</v>
      </c>
      <c r="B265" s="11" t="s">
        <v>9</v>
      </c>
      <c r="C265" s="11">
        <v>1801631</v>
      </c>
      <c r="D265" s="11" t="s">
        <v>15</v>
      </c>
      <c r="E265" s="11" t="s">
        <v>91</v>
      </c>
      <c r="F265" s="11">
        <v>334.11</v>
      </c>
      <c r="G265" s="11">
        <v>565274818</v>
      </c>
      <c r="H265" s="11">
        <v>4</v>
      </c>
      <c r="I265" s="11">
        <f>SalesData[[#This Row],[Price]]*SalesData[[#This Row],[Quantity]]</f>
        <v>1336.44</v>
      </c>
      <c r="J265" s="11" t="str">
        <f t="shared" si="4"/>
        <v>Low</v>
      </c>
      <c r="K265" s="21" t="s">
        <v>290</v>
      </c>
    </row>
    <row r="266" spans="1:11">
      <c r="A266" s="10">
        <v>43775</v>
      </c>
      <c r="B266" s="11" t="s">
        <v>9</v>
      </c>
      <c r="C266" s="11">
        <v>3600545</v>
      </c>
      <c r="D266" s="11" t="s">
        <v>81</v>
      </c>
      <c r="E266" s="11" t="s">
        <v>13</v>
      </c>
      <c r="F266" s="11">
        <v>579.14</v>
      </c>
      <c r="G266" s="11">
        <v>533766790</v>
      </c>
      <c r="H266" s="11">
        <v>5</v>
      </c>
      <c r="I266" s="11">
        <f>SalesData[[#This Row],[Price]]*SalesData[[#This Row],[Quantity]]</f>
        <v>2895.7</v>
      </c>
      <c r="J266" s="11" t="str">
        <f t="shared" si="4"/>
        <v>Medium</v>
      </c>
      <c r="K266" s="21" t="s">
        <v>292</v>
      </c>
    </row>
    <row r="267" spans="1:11">
      <c r="A267" s="10">
        <v>43770</v>
      </c>
      <c r="B267" s="11" t="s">
        <v>9</v>
      </c>
      <c r="C267" s="11">
        <v>1801559</v>
      </c>
      <c r="D267" s="11" t="s">
        <v>15</v>
      </c>
      <c r="E267" s="11" t="s">
        <v>85</v>
      </c>
      <c r="F267" s="11">
        <v>321.73</v>
      </c>
      <c r="G267" s="11">
        <v>565735476</v>
      </c>
      <c r="H267" s="11">
        <v>4</v>
      </c>
      <c r="I267" s="11">
        <f>SalesData[[#This Row],[Price]]*SalesData[[#This Row],[Quantity]]</f>
        <v>1286.92</v>
      </c>
      <c r="J267" s="11" t="str">
        <f t="shared" si="4"/>
        <v>Low</v>
      </c>
      <c r="K267" s="21" t="s">
        <v>290</v>
      </c>
    </row>
    <row r="268" spans="1:11">
      <c r="A268" s="10">
        <v>43784</v>
      </c>
      <c r="B268" s="11" t="s">
        <v>9</v>
      </c>
      <c r="C268" s="11">
        <v>1005014</v>
      </c>
      <c r="D268" s="11" t="s">
        <v>11</v>
      </c>
      <c r="E268" s="11" t="s">
        <v>13</v>
      </c>
      <c r="F268" s="11">
        <v>503.09</v>
      </c>
      <c r="G268" s="11">
        <v>566302063</v>
      </c>
      <c r="H268" s="11">
        <v>3</v>
      </c>
      <c r="I268" s="11">
        <f>SalesData[[#This Row],[Price]]*SalesData[[#This Row],[Quantity]]</f>
        <v>1509.27</v>
      </c>
      <c r="J268" s="11" t="str">
        <f t="shared" si="4"/>
        <v>Medium</v>
      </c>
      <c r="K268" s="21" t="s">
        <v>290</v>
      </c>
    </row>
    <row r="269" spans="1:11">
      <c r="A269" s="10">
        <v>43773</v>
      </c>
      <c r="B269" s="11" t="s">
        <v>9</v>
      </c>
      <c r="C269" s="11">
        <v>1005014</v>
      </c>
      <c r="D269" s="11" t="s">
        <v>11</v>
      </c>
      <c r="E269" s="11" t="s">
        <v>13</v>
      </c>
      <c r="F269" s="11">
        <v>503.09</v>
      </c>
      <c r="G269" s="11">
        <v>530676551</v>
      </c>
      <c r="H269" s="11">
        <v>2</v>
      </c>
      <c r="I269" s="11">
        <f>SalesData[[#This Row],[Price]]*SalesData[[#This Row],[Quantity]]</f>
        <v>1006.18</v>
      </c>
      <c r="J269" s="11" t="str">
        <f t="shared" si="4"/>
        <v>Medium</v>
      </c>
      <c r="K269" s="21" t="s">
        <v>290</v>
      </c>
    </row>
    <row r="270" spans="1:11">
      <c r="A270" s="10">
        <v>43779</v>
      </c>
      <c r="B270" s="11" t="s">
        <v>9</v>
      </c>
      <c r="C270" s="11">
        <v>3700167</v>
      </c>
      <c r="D270" s="11" t="s">
        <v>57</v>
      </c>
      <c r="E270" s="11" t="s">
        <v>185</v>
      </c>
      <c r="F270" s="11">
        <v>308.86</v>
      </c>
      <c r="G270" s="11">
        <v>536629021</v>
      </c>
      <c r="H270" s="11">
        <v>2</v>
      </c>
      <c r="I270" s="11">
        <f>SalesData[[#This Row],[Price]]*SalesData[[#This Row],[Quantity]]</f>
        <v>617.72</v>
      </c>
      <c r="J270" s="11" t="str">
        <f t="shared" si="4"/>
        <v>Low</v>
      </c>
      <c r="K270" s="21" t="s">
        <v>292</v>
      </c>
    </row>
    <row r="271" spans="1:11">
      <c r="A271" s="10">
        <v>43782</v>
      </c>
      <c r="B271" s="11" t="s">
        <v>9</v>
      </c>
      <c r="C271" s="11">
        <v>3601485</v>
      </c>
      <c r="D271" s="11" t="s">
        <v>81</v>
      </c>
      <c r="E271" s="11" t="s">
        <v>92</v>
      </c>
      <c r="F271" s="11">
        <v>308.63</v>
      </c>
      <c r="G271" s="11">
        <v>533427236</v>
      </c>
      <c r="H271" s="11">
        <v>4</v>
      </c>
      <c r="I271" s="11">
        <f>SalesData[[#This Row],[Price]]*SalesData[[#This Row],[Quantity]]</f>
        <v>1234.52</v>
      </c>
      <c r="J271" s="11" t="str">
        <f t="shared" si="4"/>
        <v>Low</v>
      </c>
      <c r="K271" s="21" t="s">
        <v>292</v>
      </c>
    </row>
    <row r="272" spans="1:11">
      <c r="A272" s="10">
        <v>43783</v>
      </c>
      <c r="B272" s="11" t="s">
        <v>9</v>
      </c>
      <c r="C272" s="11">
        <v>3601485</v>
      </c>
      <c r="D272" s="11" t="s">
        <v>81</v>
      </c>
      <c r="E272" s="11" t="s">
        <v>92</v>
      </c>
      <c r="F272" s="11">
        <v>308.63</v>
      </c>
      <c r="G272" s="11">
        <v>549878794</v>
      </c>
      <c r="H272" s="11">
        <v>3</v>
      </c>
      <c r="I272" s="11">
        <f>SalesData[[#This Row],[Price]]*SalesData[[#This Row],[Quantity]]</f>
        <v>925.89</v>
      </c>
      <c r="J272" s="11" t="str">
        <f t="shared" si="4"/>
        <v>Low</v>
      </c>
      <c r="K272" s="21" t="s">
        <v>292</v>
      </c>
    </row>
    <row r="273" spans="1:11">
      <c r="A273" s="10">
        <v>43777</v>
      </c>
      <c r="B273" s="11" t="s">
        <v>9</v>
      </c>
      <c r="C273" s="11">
        <v>1005165</v>
      </c>
      <c r="D273" s="11" t="s">
        <v>11</v>
      </c>
      <c r="E273" s="11" t="s">
        <v>12</v>
      </c>
      <c r="F273" s="11">
        <v>308.61</v>
      </c>
      <c r="G273" s="11">
        <v>552345471</v>
      </c>
      <c r="H273" s="11">
        <v>4</v>
      </c>
      <c r="I273" s="11">
        <f>SalesData[[#This Row],[Price]]*SalesData[[#This Row],[Quantity]]</f>
        <v>1234.44</v>
      </c>
      <c r="J273" s="11" t="str">
        <f t="shared" si="4"/>
        <v>Low</v>
      </c>
      <c r="K273" s="21" t="s">
        <v>290</v>
      </c>
    </row>
    <row r="274" spans="1:11">
      <c r="A274" s="10">
        <v>43771</v>
      </c>
      <c r="B274" s="11" t="s">
        <v>9</v>
      </c>
      <c r="C274" s="11">
        <v>1005165</v>
      </c>
      <c r="D274" s="11" t="s">
        <v>11</v>
      </c>
      <c r="E274" s="11" t="s">
        <v>12</v>
      </c>
      <c r="F274" s="11">
        <v>308.61</v>
      </c>
      <c r="G274" s="11">
        <v>552345471</v>
      </c>
      <c r="H274" s="11">
        <v>5</v>
      </c>
      <c r="I274" s="11">
        <f>SalesData[[#This Row],[Price]]*SalesData[[#This Row],[Quantity]]</f>
        <v>1543.0500000000002</v>
      </c>
      <c r="J274" s="11" t="str">
        <f t="shared" si="4"/>
        <v>Low</v>
      </c>
      <c r="K274" s="21" t="s">
        <v>290</v>
      </c>
    </row>
    <row r="275" spans="1:11">
      <c r="A275" s="10">
        <v>43784</v>
      </c>
      <c r="B275" s="11" t="s">
        <v>9</v>
      </c>
      <c r="C275" s="11">
        <v>26800031</v>
      </c>
      <c r="D275" s="11" t="s">
        <v>235</v>
      </c>
      <c r="E275" s="11" t="s">
        <v>205</v>
      </c>
      <c r="F275" s="11">
        <v>308.61</v>
      </c>
      <c r="G275" s="11">
        <v>545580444</v>
      </c>
      <c r="H275" s="11">
        <v>4</v>
      </c>
      <c r="I275" s="11">
        <f>SalesData[[#This Row],[Price]]*SalesData[[#This Row],[Quantity]]</f>
        <v>1234.44</v>
      </c>
      <c r="J275" s="11" t="str">
        <f t="shared" si="4"/>
        <v>Low</v>
      </c>
      <c r="K275" s="21" t="s">
        <v>235</v>
      </c>
    </row>
    <row r="276" spans="1:11">
      <c r="A276" s="10">
        <v>43782</v>
      </c>
      <c r="B276" s="11" t="s">
        <v>9</v>
      </c>
      <c r="C276" s="11">
        <v>26800031</v>
      </c>
      <c r="D276" s="11" t="s">
        <v>235</v>
      </c>
      <c r="E276" s="11" t="s">
        <v>205</v>
      </c>
      <c r="F276" s="11">
        <v>308.61</v>
      </c>
      <c r="G276" s="11">
        <v>526715018</v>
      </c>
      <c r="H276" s="11">
        <v>4</v>
      </c>
      <c r="I276" s="11">
        <f>SalesData[[#This Row],[Price]]*SalesData[[#This Row],[Quantity]]</f>
        <v>1234.44</v>
      </c>
      <c r="J276" s="11" t="str">
        <f t="shared" si="4"/>
        <v>Low</v>
      </c>
      <c r="K276" s="21" t="s">
        <v>235</v>
      </c>
    </row>
    <row r="277" spans="1:11">
      <c r="A277" s="10">
        <v>43771</v>
      </c>
      <c r="B277" s="11" t="s">
        <v>9</v>
      </c>
      <c r="C277" s="11">
        <v>1005238</v>
      </c>
      <c r="D277" s="11" t="s">
        <v>11</v>
      </c>
      <c r="E277" s="11" t="s">
        <v>47</v>
      </c>
      <c r="F277" s="11">
        <v>308.45</v>
      </c>
      <c r="G277" s="11">
        <v>554596785</v>
      </c>
      <c r="H277" s="11">
        <v>4</v>
      </c>
      <c r="I277" s="11">
        <f>SalesData[[#This Row],[Price]]*SalesData[[#This Row],[Quantity]]</f>
        <v>1233.8</v>
      </c>
      <c r="J277" s="11" t="str">
        <f t="shared" si="4"/>
        <v>Low</v>
      </c>
      <c r="K277" s="21" t="s">
        <v>290</v>
      </c>
    </row>
    <row r="278" spans="1:11">
      <c r="A278" s="10">
        <v>43773</v>
      </c>
      <c r="B278" s="11" t="s">
        <v>9</v>
      </c>
      <c r="C278" s="11">
        <v>1005238</v>
      </c>
      <c r="D278" s="11" t="s">
        <v>11</v>
      </c>
      <c r="E278" s="11" t="s">
        <v>47</v>
      </c>
      <c r="F278" s="11">
        <v>308.45</v>
      </c>
      <c r="G278" s="11">
        <v>512482380</v>
      </c>
      <c r="H278" s="11">
        <v>1</v>
      </c>
      <c r="I278" s="11">
        <f>SalesData[[#This Row],[Price]]*SalesData[[#This Row],[Quantity]]</f>
        <v>308.45</v>
      </c>
      <c r="J278" s="11" t="str">
        <f t="shared" si="4"/>
        <v>Low</v>
      </c>
      <c r="K278" s="21" t="s">
        <v>290</v>
      </c>
    </row>
    <row r="279" spans="1:11">
      <c r="A279" s="10">
        <v>43773</v>
      </c>
      <c r="B279" s="11" t="s">
        <v>9</v>
      </c>
      <c r="C279" s="11">
        <v>1005252</v>
      </c>
      <c r="D279" s="11" t="s">
        <v>11</v>
      </c>
      <c r="E279" s="11" t="s">
        <v>47</v>
      </c>
      <c r="F279" s="11">
        <v>308.45</v>
      </c>
      <c r="G279" s="11">
        <v>513894941</v>
      </c>
      <c r="H279" s="11">
        <v>3</v>
      </c>
      <c r="I279" s="11">
        <f>SalesData[[#This Row],[Price]]*SalesData[[#This Row],[Quantity]]</f>
        <v>925.34999999999991</v>
      </c>
      <c r="J279" s="11" t="str">
        <f t="shared" si="4"/>
        <v>Low</v>
      </c>
      <c r="K279" s="21" t="s">
        <v>290</v>
      </c>
    </row>
    <row r="280" spans="1:11">
      <c r="A280" s="10">
        <v>43777</v>
      </c>
      <c r="B280" s="11" t="s">
        <v>9</v>
      </c>
      <c r="C280" s="11">
        <v>1801881</v>
      </c>
      <c r="D280" s="11" t="s">
        <v>15</v>
      </c>
      <c r="E280" s="11" t="s">
        <v>13</v>
      </c>
      <c r="F280" s="11">
        <v>488.8</v>
      </c>
      <c r="G280" s="11">
        <v>557746614</v>
      </c>
      <c r="H280" s="11">
        <v>2</v>
      </c>
      <c r="I280" s="11">
        <f>SalesData[[#This Row],[Price]]*SalesData[[#This Row],[Quantity]]</f>
        <v>977.6</v>
      </c>
      <c r="J280" s="11" t="str">
        <f t="shared" si="4"/>
        <v>Low</v>
      </c>
      <c r="K280" s="21" t="s">
        <v>290</v>
      </c>
    </row>
    <row r="281" spans="1:11">
      <c r="A281" s="10">
        <v>43779</v>
      </c>
      <c r="B281" s="11" t="s">
        <v>9</v>
      </c>
      <c r="C281" s="11">
        <v>1801881</v>
      </c>
      <c r="D281" s="11" t="s">
        <v>15</v>
      </c>
      <c r="E281" s="11" t="s">
        <v>13</v>
      </c>
      <c r="F281" s="11">
        <v>488.8</v>
      </c>
      <c r="G281" s="11">
        <v>557746614</v>
      </c>
      <c r="H281" s="11">
        <v>1</v>
      </c>
      <c r="I281" s="11">
        <f>SalesData[[#This Row],[Price]]*SalesData[[#This Row],[Quantity]]</f>
        <v>488.8</v>
      </c>
      <c r="J281" s="11" t="str">
        <f t="shared" si="4"/>
        <v>Low</v>
      </c>
      <c r="K281" s="21" t="s">
        <v>290</v>
      </c>
    </row>
    <row r="282" spans="1:11">
      <c r="A282" s="10">
        <v>43776</v>
      </c>
      <c r="B282" s="11" t="s">
        <v>9</v>
      </c>
      <c r="C282" s="11">
        <v>26401582</v>
      </c>
      <c r="D282" s="11" t="s">
        <v>235</v>
      </c>
      <c r="E282" s="11" t="s">
        <v>235</v>
      </c>
      <c r="F282" s="11">
        <v>303.74</v>
      </c>
      <c r="G282" s="11">
        <v>515817718</v>
      </c>
      <c r="H282" s="11">
        <v>2</v>
      </c>
      <c r="I282" s="11">
        <f>SalesData[[#This Row],[Price]]*SalesData[[#This Row],[Quantity]]</f>
        <v>607.48</v>
      </c>
      <c r="J282" s="11" t="str">
        <f t="shared" si="4"/>
        <v>Low</v>
      </c>
      <c r="K282" s="21" t="s">
        <v>235</v>
      </c>
    </row>
    <row r="283" spans="1:11">
      <c r="A283" s="10">
        <v>43773</v>
      </c>
      <c r="B283" s="11" t="s">
        <v>9</v>
      </c>
      <c r="C283" s="11">
        <v>1801881</v>
      </c>
      <c r="D283" s="11" t="s">
        <v>15</v>
      </c>
      <c r="E283" s="11" t="s">
        <v>13</v>
      </c>
      <c r="F283" s="11">
        <v>488.8</v>
      </c>
      <c r="G283" s="11">
        <v>557746614</v>
      </c>
      <c r="H283" s="11">
        <v>5</v>
      </c>
      <c r="I283" s="11">
        <f>SalesData[[#This Row],[Price]]*SalesData[[#This Row],[Quantity]]</f>
        <v>2444</v>
      </c>
      <c r="J283" s="11" t="str">
        <f t="shared" si="4"/>
        <v>Low</v>
      </c>
      <c r="K283" s="21" t="s">
        <v>290</v>
      </c>
    </row>
    <row r="284" spans="1:11">
      <c r="A284" s="10">
        <v>43780</v>
      </c>
      <c r="B284" s="11" t="s">
        <v>9</v>
      </c>
      <c r="C284" s="11">
        <v>2602023</v>
      </c>
      <c r="D284" s="11" t="s">
        <v>235</v>
      </c>
      <c r="E284" s="11" t="s">
        <v>68</v>
      </c>
      <c r="F284" s="11">
        <v>298.83</v>
      </c>
      <c r="G284" s="11">
        <v>562630666</v>
      </c>
      <c r="H284" s="11">
        <v>2</v>
      </c>
      <c r="I284" s="11">
        <f>SalesData[[#This Row],[Price]]*SalesData[[#This Row],[Quantity]]</f>
        <v>597.66</v>
      </c>
      <c r="J284" s="11" t="str">
        <f t="shared" si="4"/>
        <v>Low</v>
      </c>
      <c r="K284" s="21" t="s">
        <v>235</v>
      </c>
    </row>
    <row r="285" spans="1:11">
      <c r="A285" s="10">
        <v>43770</v>
      </c>
      <c r="B285" s="11" t="s">
        <v>9</v>
      </c>
      <c r="C285" s="11">
        <v>1801881</v>
      </c>
      <c r="D285" s="11" t="s">
        <v>15</v>
      </c>
      <c r="E285" s="11" t="s">
        <v>13</v>
      </c>
      <c r="F285" s="11">
        <v>488.8</v>
      </c>
      <c r="G285" s="11">
        <v>557746614</v>
      </c>
      <c r="H285" s="11">
        <v>3</v>
      </c>
      <c r="I285" s="11">
        <f>SalesData[[#This Row],[Price]]*SalesData[[#This Row],[Quantity]]</f>
        <v>1466.4</v>
      </c>
      <c r="J285" s="11" t="str">
        <f t="shared" si="4"/>
        <v>Low</v>
      </c>
      <c r="K285" s="21" t="s">
        <v>290</v>
      </c>
    </row>
    <row r="286" spans="1:11">
      <c r="A286" s="10">
        <v>43778</v>
      </c>
      <c r="B286" s="11" t="s">
        <v>9</v>
      </c>
      <c r="C286" s="11">
        <v>26400304</v>
      </c>
      <c r="D286" s="11" t="s">
        <v>235</v>
      </c>
      <c r="E286" s="11" t="s">
        <v>14</v>
      </c>
      <c r="F286" s="11">
        <v>293.7</v>
      </c>
      <c r="G286" s="11">
        <v>533351761</v>
      </c>
      <c r="H286" s="11">
        <v>3</v>
      </c>
      <c r="I286" s="11">
        <f>SalesData[[#This Row],[Price]]*SalesData[[#This Row],[Quantity]]</f>
        <v>881.09999999999991</v>
      </c>
      <c r="J286" s="11" t="str">
        <f t="shared" si="4"/>
        <v>Low</v>
      </c>
      <c r="K286" s="21" t="s">
        <v>235</v>
      </c>
    </row>
    <row r="287" spans="1:11">
      <c r="A287" s="10">
        <v>43770</v>
      </c>
      <c r="B287" s="11" t="s">
        <v>9</v>
      </c>
      <c r="C287" s="11">
        <v>2601154</v>
      </c>
      <c r="D287" s="11" t="s">
        <v>235</v>
      </c>
      <c r="E287" s="11" t="s">
        <v>68</v>
      </c>
      <c r="F287" s="11">
        <v>293.69</v>
      </c>
      <c r="G287" s="11">
        <v>515057215</v>
      </c>
      <c r="H287" s="11">
        <v>5</v>
      </c>
      <c r="I287" s="11">
        <f>SalesData[[#This Row],[Price]]*SalesData[[#This Row],[Quantity]]</f>
        <v>1468.45</v>
      </c>
      <c r="J287" s="11" t="str">
        <f t="shared" si="4"/>
        <v>Low</v>
      </c>
      <c r="K287" s="21" t="s">
        <v>235</v>
      </c>
    </row>
    <row r="288" spans="1:11">
      <c r="A288" s="10">
        <v>43774</v>
      </c>
      <c r="B288" s="11" t="s">
        <v>9</v>
      </c>
      <c r="C288" s="11">
        <v>1801881</v>
      </c>
      <c r="D288" s="11" t="s">
        <v>15</v>
      </c>
      <c r="E288" s="11" t="s">
        <v>13</v>
      </c>
      <c r="F288" s="11">
        <v>488.8</v>
      </c>
      <c r="G288" s="11">
        <v>516426931</v>
      </c>
      <c r="H288" s="11">
        <v>1</v>
      </c>
      <c r="I288" s="11">
        <f>SalesData[[#This Row],[Price]]*SalesData[[#This Row],[Quantity]]</f>
        <v>488.8</v>
      </c>
      <c r="J288" s="11" t="str">
        <f t="shared" si="4"/>
        <v>Low</v>
      </c>
      <c r="K288" s="21" t="s">
        <v>290</v>
      </c>
    </row>
    <row r="289" spans="1:11">
      <c r="A289" s="10">
        <v>43778</v>
      </c>
      <c r="B289" s="11" t="s">
        <v>9</v>
      </c>
      <c r="C289" s="11">
        <v>1801881</v>
      </c>
      <c r="D289" s="11" t="s">
        <v>15</v>
      </c>
      <c r="E289" s="11" t="s">
        <v>13</v>
      </c>
      <c r="F289" s="11">
        <v>488.8</v>
      </c>
      <c r="G289" s="11">
        <v>557746614</v>
      </c>
      <c r="H289" s="11">
        <v>2</v>
      </c>
      <c r="I289" s="11">
        <f>SalesData[[#This Row],[Price]]*SalesData[[#This Row],[Quantity]]</f>
        <v>977.6</v>
      </c>
      <c r="J289" s="11" t="str">
        <f t="shared" si="4"/>
        <v>Low</v>
      </c>
      <c r="K289" s="21" t="s">
        <v>290</v>
      </c>
    </row>
    <row r="290" spans="1:11">
      <c r="A290" s="10">
        <v>43774</v>
      </c>
      <c r="B290" s="11" t="s">
        <v>9</v>
      </c>
      <c r="C290" s="11">
        <v>1801881</v>
      </c>
      <c r="D290" s="11" t="s">
        <v>15</v>
      </c>
      <c r="E290" s="11" t="s">
        <v>13</v>
      </c>
      <c r="F290" s="11">
        <v>488.8</v>
      </c>
      <c r="G290" s="11">
        <v>557746614</v>
      </c>
      <c r="H290" s="11">
        <v>5</v>
      </c>
      <c r="I290" s="11">
        <f>SalesData[[#This Row],[Price]]*SalesData[[#This Row],[Quantity]]</f>
        <v>2444</v>
      </c>
      <c r="J290" s="11" t="str">
        <f t="shared" si="4"/>
        <v>Low</v>
      </c>
      <c r="K290" s="21" t="s">
        <v>290</v>
      </c>
    </row>
    <row r="291" spans="1:11">
      <c r="A291" s="10">
        <v>43778</v>
      </c>
      <c r="B291" s="11" t="s">
        <v>9</v>
      </c>
      <c r="C291" s="11">
        <v>2800382</v>
      </c>
      <c r="D291" s="11" t="s">
        <v>100</v>
      </c>
      <c r="E291" s="11" t="s">
        <v>235</v>
      </c>
      <c r="F291" s="11">
        <v>283.12</v>
      </c>
      <c r="G291" s="11">
        <v>544591928</v>
      </c>
      <c r="H291" s="11">
        <v>5</v>
      </c>
      <c r="I291" s="11">
        <f>SalesData[[#This Row],[Price]]*SalesData[[#This Row],[Quantity]]</f>
        <v>1415.6</v>
      </c>
      <c r="J291" s="11" t="str">
        <f t="shared" si="4"/>
        <v>Low</v>
      </c>
      <c r="K291" s="21" t="s">
        <v>292</v>
      </c>
    </row>
    <row r="292" spans="1:11">
      <c r="A292" s="10">
        <v>43772</v>
      </c>
      <c r="B292" s="11" t="s">
        <v>9</v>
      </c>
      <c r="C292" s="11">
        <v>1307310</v>
      </c>
      <c r="D292" s="11" t="s">
        <v>69</v>
      </c>
      <c r="E292" s="11" t="s">
        <v>94</v>
      </c>
      <c r="F292" s="11">
        <v>283.08999999999997</v>
      </c>
      <c r="G292" s="11">
        <v>551713687</v>
      </c>
      <c r="H292" s="11">
        <v>1</v>
      </c>
      <c r="I292" s="11">
        <f>SalesData[[#This Row],[Price]]*SalesData[[#This Row],[Quantity]]</f>
        <v>283.08999999999997</v>
      </c>
      <c r="J292" s="11" t="str">
        <f t="shared" si="4"/>
        <v>Low</v>
      </c>
      <c r="K292" s="21" t="s">
        <v>291</v>
      </c>
    </row>
    <row r="293" spans="1:11">
      <c r="A293" s="10">
        <v>43778</v>
      </c>
      <c r="B293" s="11" t="s">
        <v>9</v>
      </c>
      <c r="C293" s="11">
        <v>15100034</v>
      </c>
      <c r="D293" s="11" t="s">
        <v>235</v>
      </c>
      <c r="E293" s="11" t="s">
        <v>235</v>
      </c>
      <c r="F293" s="11">
        <v>282.89</v>
      </c>
      <c r="G293" s="11">
        <v>515005307</v>
      </c>
      <c r="H293" s="11">
        <v>3</v>
      </c>
      <c r="I293" s="11">
        <f>SalesData[[#This Row],[Price]]*SalesData[[#This Row],[Quantity]]</f>
        <v>848.67</v>
      </c>
      <c r="J293" s="11" t="str">
        <f t="shared" si="4"/>
        <v>Low</v>
      </c>
      <c r="K293" s="21" t="s">
        <v>235</v>
      </c>
    </row>
    <row r="294" spans="1:11">
      <c r="A294" s="10">
        <v>43778</v>
      </c>
      <c r="B294" s="11" t="s">
        <v>9</v>
      </c>
      <c r="C294" s="11">
        <v>1005162</v>
      </c>
      <c r="D294" s="11" t="s">
        <v>11</v>
      </c>
      <c r="E294" s="11" t="s">
        <v>12</v>
      </c>
      <c r="F294" s="11">
        <v>281.70999999999998</v>
      </c>
      <c r="G294" s="11">
        <v>554029528</v>
      </c>
      <c r="H294" s="11">
        <v>2</v>
      </c>
      <c r="I294" s="11">
        <f>SalesData[[#This Row],[Price]]*SalesData[[#This Row],[Quantity]]</f>
        <v>563.41999999999996</v>
      </c>
      <c r="J294" s="11" t="str">
        <f t="shared" si="4"/>
        <v>Low</v>
      </c>
      <c r="K294" s="21" t="s">
        <v>290</v>
      </c>
    </row>
    <row r="295" spans="1:11">
      <c r="A295" s="10">
        <v>43780</v>
      </c>
      <c r="B295" s="11" t="s">
        <v>9</v>
      </c>
      <c r="C295" s="11">
        <v>1005239</v>
      </c>
      <c r="D295" s="11" t="s">
        <v>11</v>
      </c>
      <c r="E295" s="11" t="s">
        <v>12</v>
      </c>
      <c r="F295" s="11">
        <v>280.57</v>
      </c>
      <c r="G295" s="11">
        <v>536838271</v>
      </c>
      <c r="H295" s="11">
        <v>2</v>
      </c>
      <c r="I295" s="11">
        <f>SalesData[[#This Row],[Price]]*SalesData[[#This Row],[Quantity]]</f>
        <v>561.14</v>
      </c>
      <c r="J295" s="11" t="str">
        <f t="shared" si="4"/>
        <v>Low</v>
      </c>
      <c r="K295" s="21" t="s">
        <v>290</v>
      </c>
    </row>
    <row r="296" spans="1:11">
      <c r="A296" s="10">
        <v>43783</v>
      </c>
      <c r="B296" s="11" t="s">
        <v>9</v>
      </c>
      <c r="C296" s="11">
        <v>30100123</v>
      </c>
      <c r="D296" s="11" t="s">
        <v>235</v>
      </c>
      <c r="E296" s="11" t="s">
        <v>122</v>
      </c>
      <c r="F296" s="11">
        <v>276.49</v>
      </c>
      <c r="G296" s="11">
        <v>515055282</v>
      </c>
      <c r="H296" s="11">
        <v>3</v>
      </c>
      <c r="I296" s="11">
        <f>SalesData[[#This Row],[Price]]*SalesData[[#This Row],[Quantity]]</f>
        <v>829.47</v>
      </c>
      <c r="J296" s="11" t="str">
        <f t="shared" si="4"/>
        <v>Low</v>
      </c>
      <c r="K296" s="21" t="s">
        <v>235</v>
      </c>
    </row>
    <row r="297" spans="1:11">
      <c r="A297" s="10">
        <v>43780</v>
      </c>
      <c r="B297" s="11" t="s">
        <v>9</v>
      </c>
      <c r="C297" s="11">
        <v>1801881</v>
      </c>
      <c r="D297" s="11" t="s">
        <v>15</v>
      </c>
      <c r="E297" s="11" t="s">
        <v>13</v>
      </c>
      <c r="F297" s="11">
        <v>488.8</v>
      </c>
      <c r="G297" s="11">
        <v>516426931</v>
      </c>
      <c r="H297" s="11">
        <v>1</v>
      </c>
      <c r="I297" s="11">
        <f>SalesData[[#This Row],[Price]]*SalesData[[#This Row],[Quantity]]</f>
        <v>488.8</v>
      </c>
      <c r="J297" s="11" t="str">
        <f t="shared" si="4"/>
        <v>Low</v>
      </c>
      <c r="K297" s="21" t="s">
        <v>290</v>
      </c>
    </row>
    <row r="298" spans="1:11">
      <c r="A298" s="10">
        <v>43780</v>
      </c>
      <c r="B298" s="11" t="s">
        <v>9</v>
      </c>
      <c r="C298" s="11">
        <v>1801881</v>
      </c>
      <c r="D298" s="11" t="s">
        <v>15</v>
      </c>
      <c r="E298" s="11" t="s">
        <v>13</v>
      </c>
      <c r="F298" s="11">
        <v>488.8</v>
      </c>
      <c r="G298" s="11">
        <v>513451673</v>
      </c>
      <c r="H298" s="11">
        <v>2</v>
      </c>
      <c r="I298" s="11">
        <f>SalesData[[#This Row],[Price]]*SalesData[[#This Row],[Quantity]]</f>
        <v>977.6</v>
      </c>
      <c r="J298" s="11" t="str">
        <f t="shared" si="4"/>
        <v>Low</v>
      </c>
      <c r="K298" s="21" t="s">
        <v>290</v>
      </c>
    </row>
    <row r="299" spans="1:11">
      <c r="A299" s="10">
        <v>43781</v>
      </c>
      <c r="B299" s="11" t="s">
        <v>9</v>
      </c>
      <c r="C299" s="11">
        <v>1801881</v>
      </c>
      <c r="D299" s="11" t="s">
        <v>15</v>
      </c>
      <c r="E299" s="11" t="s">
        <v>13</v>
      </c>
      <c r="F299" s="11">
        <v>488.8</v>
      </c>
      <c r="G299" s="11">
        <v>537815115</v>
      </c>
      <c r="H299" s="11">
        <v>5</v>
      </c>
      <c r="I299" s="11">
        <f>SalesData[[#This Row],[Price]]*SalesData[[#This Row],[Quantity]]</f>
        <v>2444</v>
      </c>
      <c r="J299" s="11" t="str">
        <f t="shared" si="4"/>
        <v>Low</v>
      </c>
      <c r="K299" s="21" t="s">
        <v>290</v>
      </c>
    </row>
    <row r="300" spans="1:11">
      <c r="A300" s="10">
        <v>43776</v>
      </c>
      <c r="B300" s="11" t="s">
        <v>9</v>
      </c>
      <c r="C300" s="11">
        <v>1003535</v>
      </c>
      <c r="D300" s="11" t="s">
        <v>11</v>
      </c>
      <c r="E300" s="11" t="s">
        <v>13</v>
      </c>
      <c r="F300" s="11">
        <v>460.5</v>
      </c>
      <c r="G300" s="11">
        <v>532851148</v>
      </c>
      <c r="H300" s="11">
        <v>2</v>
      </c>
      <c r="I300" s="11">
        <f>SalesData[[#This Row],[Price]]*SalesData[[#This Row],[Quantity]]</f>
        <v>921</v>
      </c>
      <c r="J300" s="11" t="str">
        <f t="shared" si="4"/>
        <v>Low</v>
      </c>
      <c r="K300" s="21" t="s">
        <v>290</v>
      </c>
    </row>
    <row r="301" spans="1:11">
      <c r="A301" s="10">
        <v>43775</v>
      </c>
      <c r="B301" s="11" t="s">
        <v>9</v>
      </c>
      <c r="C301" s="11">
        <v>3601344</v>
      </c>
      <c r="D301" s="11" t="s">
        <v>81</v>
      </c>
      <c r="E301" s="11" t="s">
        <v>13</v>
      </c>
      <c r="F301" s="11">
        <v>424.7</v>
      </c>
      <c r="G301" s="11">
        <v>514183137</v>
      </c>
      <c r="H301" s="11">
        <v>4</v>
      </c>
      <c r="I301" s="11">
        <f>SalesData[[#This Row],[Price]]*SalesData[[#This Row],[Quantity]]</f>
        <v>1698.8</v>
      </c>
      <c r="J301" s="11" t="str">
        <f t="shared" si="4"/>
        <v>Low</v>
      </c>
      <c r="K301" s="21" t="s">
        <v>292</v>
      </c>
    </row>
    <row r="302" spans="1:11">
      <c r="A302" s="10">
        <v>43781</v>
      </c>
      <c r="B302" s="11" t="s">
        <v>9</v>
      </c>
      <c r="C302" s="11">
        <v>1801704</v>
      </c>
      <c r="D302" s="11" t="s">
        <v>15</v>
      </c>
      <c r="E302" s="11" t="s">
        <v>13</v>
      </c>
      <c r="F302" s="11">
        <v>411.59</v>
      </c>
      <c r="G302" s="11">
        <v>566294886</v>
      </c>
      <c r="H302" s="11">
        <v>3</v>
      </c>
      <c r="I302" s="11">
        <f>SalesData[[#This Row],[Price]]*SalesData[[#This Row],[Quantity]]</f>
        <v>1234.77</v>
      </c>
      <c r="J302" s="11" t="str">
        <f t="shared" si="4"/>
        <v>Low</v>
      </c>
      <c r="K302" s="21" t="s">
        <v>290</v>
      </c>
    </row>
    <row r="303" spans="1:11">
      <c r="A303" s="10">
        <v>43778</v>
      </c>
      <c r="B303" s="11" t="s">
        <v>9</v>
      </c>
      <c r="C303" s="11">
        <v>4201417</v>
      </c>
      <c r="D303" s="11" t="s">
        <v>162</v>
      </c>
      <c r="E303" s="11" t="s">
        <v>13</v>
      </c>
      <c r="F303" s="11">
        <v>399.26</v>
      </c>
      <c r="G303" s="11">
        <v>566295310</v>
      </c>
      <c r="H303" s="11">
        <v>3</v>
      </c>
      <c r="I303" s="11">
        <f>SalesData[[#This Row],[Price]]*SalesData[[#This Row],[Quantity]]</f>
        <v>1197.78</v>
      </c>
      <c r="J303" s="11" t="str">
        <f t="shared" si="4"/>
        <v>Low</v>
      </c>
      <c r="K303" s="21" t="s">
        <v>292</v>
      </c>
    </row>
    <row r="304" spans="1:11">
      <c r="A304" s="10">
        <v>43772</v>
      </c>
      <c r="B304" s="11" t="s">
        <v>9</v>
      </c>
      <c r="C304" s="11">
        <v>3601524</v>
      </c>
      <c r="D304" s="11" t="s">
        <v>81</v>
      </c>
      <c r="E304" s="11" t="s">
        <v>13</v>
      </c>
      <c r="F304" s="11">
        <v>398.95</v>
      </c>
      <c r="G304" s="11">
        <v>555697742</v>
      </c>
      <c r="H304" s="11">
        <v>3</v>
      </c>
      <c r="I304" s="11">
        <f>SalesData[[#This Row],[Price]]*SalesData[[#This Row],[Quantity]]</f>
        <v>1196.8499999999999</v>
      </c>
      <c r="J304" s="11" t="str">
        <f t="shared" si="4"/>
        <v>Low</v>
      </c>
      <c r="K304" s="21" t="s">
        <v>292</v>
      </c>
    </row>
    <row r="305" spans="1:11">
      <c r="A305" s="10">
        <v>43783</v>
      </c>
      <c r="B305" s="11" t="s">
        <v>9</v>
      </c>
      <c r="C305" s="11">
        <v>3601524</v>
      </c>
      <c r="D305" s="11" t="s">
        <v>81</v>
      </c>
      <c r="E305" s="11" t="s">
        <v>13</v>
      </c>
      <c r="F305" s="11">
        <v>398.95</v>
      </c>
      <c r="G305" s="11">
        <v>524298889</v>
      </c>
      <c r="H305" s="11">
        <v>3</v>
      </c>
      <c r="I305" s="11">
        <f>SalesData[[#This Row],[Price]]*SalesData[[#This Row],[Quantity]]</f>
        <v>1196.8499999999999</v>
      </c>
      <c r="J305" s="11" t="str">
        <f t="shared" si="4"/>
        <v>Low</v>
      </c>
      <c r="K305" s="21" t="s">
        <v>292</v>
      </c>
    </row>
    <row r="306" spans="1:11">
      <c r="A306" s="10">
        <v>43778</v>
      </c>
      <c r="B306" s="11" t="s">
        <v>9</v>
      </c>
      <c r="C306" s="11">
        <v>1801690</v>
      </c>
      <c r="D306" s="11" t="s">
        <v>15</v>
      </c>
      <c r="E306" s="11" t="s">
        <v>13</v>
      </c>
      <c r="F306" s="11">
        <v>369.45</v>
      </c>
      <c r="G306" s="11">
        <v>516426931</v>
      </c>
      <c r="H306" s="11">
        <v>3</v>
      </c>
      <c r="I306" s="11">
        <f>SalesData[[#This Row],[Price]]*SalesData[[#This Row],[Quantity]]</f>
        <v>1108.3499999999999</v>
      </c>
      <c r="J306" s="11" t="str">
        <f t="shared" si="4"/>
        <v>Low</v>
      </c>
      <c r="K306" s="21" t="s">
        <v>290</v>
      </c>
    </row>
    <row r="307" spans="1:11">
      <c r="A307" s="10">
        <v>43773</v>
      </c>
      <c r="B307" s="11" t="s">
        <v>9</v>
      </c>
      <c r="C307" s="11">
        <v>1801690</v>
      </c>
      <c r="D307" s="11" t="s">
        <v>15</v>
      </c>
      <c r="E307" s="11" t="s">
        <v>13</v>
      </c>
      <c r="F307" s="11">
        <v>369.45</v>
      </c>
      <c r="G307" s="11">
        <v>519269480</v>
      </c>
      <c r="H307" s="11">
        <v>2</v>
      </c>
      <c r="I307" s="11">
        <f>SalesData[[#This Row],[Price]]*SalesData[[#This Row],[Quantity]]</f>
        <v>738.9</v>
      </c>
      <c r="J307" s="11" t="str">
        <f t="shared" si="4"/>
        <v>Low</v>
      </c>
      <c r="K307" s="21" t="s">
        <v>290</v>
      </c>
    </row>
    <row r="308" spans="1:11">
      <c r="A308" s="10">
        <v>43776</v>
      </c>
      <c r="B308" s="11" t="s">
        <v>9</v>
      </c>
      <c r="C308" s="11">
        <v>1801690</v>
      </c>
      <c r="D308" s="11" t="s">
        <v>15</v>
      </c>
      <c r="E308" s="11" t="s">
        <v>13</v>
      </c>
      <c r="F308" s="11">
        <v>369.45</v>
      </c>
      <c r="G308" s="11">
        <v>547864701</v>
      </c>
      <c r="H308" s="11">
        <v>4</v>
      </c>
      <c r="I308" s="11">
        <f>SalesData[[#This Row],[Price]]*SalesData[[#This Row],[Quantity]]</f>
        <v>1477.8</v>
      </c>
      <c r="J308" s="11" t="str">
        <f t="shared" si="4"/>
        <v>Low</v>
      </c>
      <c r="K308" s="21" t="s">
        <v>290</v>
      </c>
    </row>
    <row r="309" spans="1:11">
      <c r="A309" s="10">
        <v>43777</v>
      </c>
      <c r="B309" s="11" t="s">
        <v>9</v>
      </c>
      <c r="C309" s="11">
        <v>1004873</v>
      </c>
      <c r="D309" s="11" t="s">
        <v>11</v>
      </c>
      <c r="E309" s="11" t="s">
        <v>13</v>
      </c>
      <c r="F309" s="11">
        <v>362.29</v>
      </c>
      <c r="G309" s="11">
        <v>516676963</v>
      </c>
      <c r="H309" s="11">
        <v>2</v>
      </c>
      <c r="I309" s="11">
        <f>SalesData[[#This Row],[Price]]*SalesData[[#This Row],[Quantity]]</f>
        <v>724.58</v>
      </c>
      <c r="J309" s="11" t="str">
        <f t="shared" si="4"/>
        <v>Low</v>
      </c>
      <c r="K309" s="21" t="s">
        <v>290</v>
      </c>
    </row>
    <row r="310" spans="1:11">
      <c r="A310" s="10">
        <v>43784</v>
      </c>
      <c r="B310" s="11" t="s">
        <v>9</v>
      </c>
      <c r="C310" s="11">
        <v>1004873</v>
      </c>
      <c r="D310" s="11" t="s">
        <v>11</v>
      </c>
      <c r="E310" s="11" t="s">
        <v>13</v>
      </c>
      <c r="F310" s="11">
        <v>362.29</v>
      </c>
      <c r="G310" s="11">
        <v>547327701</v>
      </c>
      <c r="H310" s="11">
        <v>3</v>
      </c>
      <c r="I310" s="11">
        <f>SalesData[[#This Row],[Price]]*SalesData[[#This Row],[Quantity]]</f>
        <v>1086.8700000000001</v>
      </c>
      <c r="J310" s="11" t="str">
        <f t="shared" si="4"/>
        <v>Low</v>
      </c>
      <c r="K310" s="21" t="s">
        <v>290</v>
      </c>
    </row>
    <row r="311" spans="1:11">
      <c r="A311" s="10">
        <v>43771</v>
      </c>
      <c r="B311" s="11" t="s">
        <v>9</v>
      </c>
      <c r="C311" s="11">
        <v>1004873</v>
      </c>
      <c r="D311" s="11" t="s">
        <v>11</v>
      </c>
      <c r="E311" s="11" t="s">
        <v>13</v>
      </c>
      <c r="F311" s="11">
        <v>362.29</v>
      </c>
      <c r="G311" s="11">
        <v>512912276</v>
      </c>
      <c r="H311" s="11">
        <v>3</v>
      </c>
      <c r="I311" s="11">
        <f>SalesData[[#This Row],[Price]]*SalesData[[#This Row],[Quantity]]</f>
        <v>1086.8700000000001</v>
      </c>
      <c r="J311" s="11" t="str">
        <f t="shared" si="4"/>
        <v>Low</v>
      </c>
      <c r="K311" s="21" t="s">
        <v>290</v>
      </c>
    </row>
    <row r="312" spans="1:11">
      <c r="A312" s="10">
        <v>43772</v>
      </c>
      <c r="B312" s="11" t="s">
        <v>9</v>
      </c>
      <c r="C312" s="11">
        <v>2701658</v>
      </c>
      <c r="D312" s="11" t="s">
        <v>100</v>
      </c>
      <c r="E312" s="11" t="s">
        <v>82</v>
      </c>
      <c r="F312" s="11">
        <v>272.8</v>
      </c>
      <c r="G312" s="11">
        <v>524298889</v>
      </c>
      <c r="H312" s="11">
        <v>4</v>
      </c>
      <c r="I312" s="11">
        <f>SalesData[[#This Row],[Price]]*SalesData[[#This Row],[Quantity]]</f>
        <v>1091.2</v>
      </c>
      <c r="J312" s="11" t="str">
        <f t="shared" si="4"/>
        <v>Low</v>
      </c>
      <c r="K312" s="21" t="s">
        <v>292</v>
      </c>
    </row>
    <row r="313" spans="1:11">
      <c r="A313" s="10">
        <v>43783</v>
      </c>
      <c r="B313" s="11" t="s">
        <v>9</v>
      </c>
      <c r="C313" s="11">
        <v>1500258</v>
      </c>
      <c r="D313" s="11" t="s">
        <v>30</v>
      </c>
      <c r="E313" s="11" t="s">
        <v>105</v>
      </c>
      <c r="F313" s="11">
        <v>272.54000000000002</v>
      </c>
      <c r="G313" s="11">
        <v>556325945</v>
      </c>
      <c r="H313" s="11">
        <v>5</v>
      </c>
      <c r="I313" s="11">
        <f>SalesData[[#This Row],[Price]]*SalesData[[#This Row],[Quantity]]</f>
        <v>1362.7</v>
      </c>
      <c r="J313" s="11" t="str">
        <f t="shared" si="4"/>
        <v>Low</v>
      </c>
      <c r="K313" s="21" t="s">
        <v>291</v>
      </c>
    </row>
    <row r="314" spans="1:11">
      <c r="A314" s="10">
        <v>43782</v>
      </c>
      <c r="B314" s="11" t="s">
        <v>9</v>
      </c>
      <c r="C314" s="11">
        <v>1005157</v>
      </c>
      <c r="D314" s="11" t="s">
        <v>11</v>
      </c>
      <c r="E314" s="11" t="s">
        <v>12</v>
      </c>
      <c r="F314" s="11">
        <v>269.77999999999997</v>
      </c>
      <c r="G314" s="11">
        <v>562012420</v>
      </c>
      <c r="H314" s="11">
        <v>5</v>
      </c>
      <c r="I314" s="11">
        <f>SalesData[[#This Row],[Price]]*SalesData[[#This Row],[Quantity]]</f>
        <v>1348.8999999999999</v>
      </c>
      <c r="J314" s="11" t="str">
        <f t="shared" si="4"/>
        <v>Low</v>
      </c>
      <c r="K314" s="21" t="s">
        <v>290</v>
      </c>
    </row>
    <row r="315" spans="1:11">
      <c r="A315" s="10">
        <v>43782</v>
      </c>
      <c r="B315" s="11" t="s">
        <v>9</v>
      </c>
      <c r="C315" s="11">
        <v>1005157</v>
      </c>
      <c r="D315" s="11" t="s">
        <v>11</v>
      </c>
      <c r="E315" s="11" t="s">
        <v>12</v>
      </c>
      <c r="F315" s="11">
        <v>269.77999999999997</v>
      </c>
      <c r="G315" s="11">
        <v>517386419</v>
      </c>
      <c r="H315" s="11">
        <v>3</v>
      </c>
      <c r="I315" s="11">
        <f>SalesData[[#This Row],[Price]]*SalesData[[#This Row],[Quantity]]</f>
        <v>809.33999999999992</v>
      </c>
      <c r="J315" s="11" t="str">
        <f t="shared" si="4"/>
        <v>Low</v>
      </c>
      <c r="K315" s="21" t="s">
        <v>290</v>
      </c>
    </row>
    <row r="316" spans="1:11">
      <c r="A316" s="10">
        <v>43771</v>
      </c>
      <c r="B316" s="11" t="s">
        <v>9</v>
      </c>
      <c r="C316" s="11">
        <v>1005157</v>
      </c>
      <c r="D316" s="11" t="s">
        <v>11</v>
      </c>
      <c r="E316" s="11" t="s">
        <v>12</v>
      </c>
      <c r="F316" s="11">
        <v>269.77999999999997</v>
      </c>
      <c r="G316" s="11">
        <v>525969243</v>
      </c>
      <c r="H316" s="11">
        <v>3</v>
      </c>
      <c r="I316" s="11">
        <f>SalesData[[#This Row],[Price]]*SalesData[[#This Row],[Quantity]]</f>
        <v>809.33999999999992</v>
      </c>
      <c r="J316" s="11" t="str">
        <f t="shared" si="4"/>
        <v>Low</v>
      </c>
      <c r="K316" s="21" t="s">
        <v>290</v>
      </c>
    </row>
    <row r="317" spans="1:11">
      <c r="A317" s="10">
        <v>43773</v>
      </c>
      <c r="B317" s="11" t="s">
        <v>9</v>
      </c>
      <c r="C317" s="11">
        <v>12708205</v>
      </c>
      <c r="D317" s="11" t="s">
        <v>235</v>
      </c>
      <c r="E317" s="11" t="s">
        <v>235</v>
      </c>
      <c r="F317" s="11">
        <v>267.95999999999998</v>
      </c>
      <c r="G317" s="11">
        <v>514917810</v>
      </c>
      <c r="H317" s="11">
        <v>4</v>
      </c>
      <c r="I317" s="11">
        <f>SalesData[[#This Row],[Price]]*SalesData[[#This Row],[Quantity]]</f>
        <v>1071.8399999999999</v>
      </c>
      <c r="J317" s="11" t="str">
        <f t="shared" si="4"/>
        <v>Low</v>
      </c>
      <c r="K317" s="21" t="s">
        <v>235</v>
      </c>
    </row>
    <row r="318" spans="1:11">
      <c r="A318" s="10">
        <v>43771</v>
      </c>
      <c r="B318" s="11" t="s">
        <v>9</v>
      </c>
      <c r="C318" s="11">
        <v>1004785</v>
      </c>
      <c r="D318" s="11" t="s">
        <v>11</v>
      </c>
      <c r="E318" s="11" t="s">
        <v>60</v>
      </c>
      <c r="F318" s="11">
        <v>266</v>
      </c>
      <c r="G318" s="11">
        <v>556240301</v>
      </c>
      <c r="H318" s="11">
        <v>4</v>
      </c>
      <c r="I318" s="11">
        <f>SalesData[[#This Row],[Price]]*SalesData[[#This Row],[Quantity]]</f>
        <v>1064</v>
      </c>
      <c r="J318" s="11" t="str">
        <f t="shared" si="4"/>
        <v>Low</v>
      </c>
      <c r="K318" s="21" t="s">
        <v>290</v>
      </c>
    </row>
    <row r="319" spans="1:11">
      <c r="A319" s="10">
        <v>43774</v>
      </c>
      <c r="B319" s="11" t="s">
        <v>9</v>
      </c>
      <c r="C319" s="11">
        <v>26404599</v>
      </c>
      <c r="D319" s="11" t="s">
        <v>235</v>
      </c>
      <c r="E319" s="11" t="s">
        <v>235</v>
      </c>
      <c r="F319" s="11">
        <v>265.39</v>
      </c>
      <c r="G319" s="11">
        <v>543171591</v>
      </c>
      <c r="H319" s="11">
        <v>2</v>
      </c>
      <c r="I319" s="11">
        <f>SalesData[[#This Row],[Price]]*SalesData[[#This Row],[Quantity]]</f>
        <v>530.78</v>
      </c>
      <c r="J319" s="11" t="str">
        <f t="shared" si="4"/>
        <v>Low</v>
      </c>
      <c r="K319" s="21" t="s">
        <v>235</v>
      </c>
    </row>
    <row r="320" spans="1:11">
      <c r="A320" s="10">
        <v>43771</v>
      </c>
      <c r="B320" s="11" t="s">
        <v>9</v>
      </c>
      <c r="C320" s="11">
        <v>1307135</v>
      </c>
      <c r="D320" s="11" t="s">
        <v>69</v>
      </c>
      <c r="E320" s="11" t="s">
        <v>31</v>
      </c>
      <c r="F320" s="11">
        <v>262.3</v>
      </c>
      <c r="G320" s="11">
        <v>529726896</v>
      </c>
      <c r="H320" s="11">
        <v>5</v>
      </c>
      <c r="I320" s="11">
        <f>SalesData[[#This Row],[Price]]*SalesData[[#This Row],[Quantity]]</f>
        <v>1311.5</v>
      </c>
      <c r="J320" s="11" t="str">
        <f t="shared" si="4"/>
        <v>Low</v>
      </c>
      <c r="K320" s="21" t="s">
        <v>291</v>
      </c>
    </row>
    <row r="321" spans="1:11">
      <c r="A321" s="10">
        <v>43772</v>
      </c>
      <c r="B321" s="11" t="s">
        <v>9</v>
      </c>
      <c r="C321" s="11">
        <v>1004873</v>
      </c>
      <c r="D321" s="11" t="s">
        <v>11</v>
      </c>
      <c r="E321" s="11" t="s">
        <v>13</v>
      </c>
      <c r="F321" s="11">
        <v>362.29</v>
      </c>
      <c r="G321" s="11">
        <v>551973741</v>
      </c>
      <c r="H321" s="11">
        <v>5</v>
      </c>
      <c r="I321" s="11">
        <f>SalesData[[#This Row],[Price]]*SalesData[[#This Row],[Quantity]]</f>
        <v>1811.45</v>
      </c>
      <c r="J321" s="11" t="str">
        <f t="shared" si="4"/>
        <v>Low</v>
      </c>
      <c r="K321" s="21" t="s">
        <v>290</v>
      </c>
    </row>
    <row r="322" spans="1:11">
      <c r="A322" s="10">
        <v>43782</v>
      </c>
      <c r="B322" s="11" t="s">
        <v>9</v>
      </c>
      <c r="C322" s="11">
        <v>11600406</v>
      </c>
      <c r="D322" s="11" t="s">
        <v>24</v>
      </c>
      <c r="E322" s="11" t="s">
        <v>152</v>
      </c>
      <c r="F322" s="11">
        <v>260.52999999999997</v>
      </c>
      <c r="G322" s="11">
        <v>514663441</v>
      </c>
      <c r="H322" s="11">
        <v>5</v>
      </c>
      <c r="I322" s="11">
        <f>SalesData[[#This Row],[Price]]*SalesData[[#This Row],[Quantity]]</f>
        <v>1302.6499999999999</v>
      </c>
      <c r="J322" s="11" t="str">
        <f t="shared" ref="J322:J385" si="5">IF(F322&lt;500, "Low", IF(F322&lt;1500, "Medium", "High"))</f>
        <v>Low</v>
      </c>
      <c r="K322" s="21" t="s">
        <v>291</v>
      </c>
    </row>
    <row r="323" spans="1:11">
      <c r="A323" s="10">
        <v>43777</v>
      </c>
      <c r="B323" s="11" t="s">
        <v>9</v>
      </c>
      <c r="C323" s="11">
        <v>1004873</v>
      </c>
      <c r="D323" s="11" t="s">
        <v>11</v>
      </c>
      <c r="E323" s="11" t="s">
        <v>13</v>
      </c>
      <c r="F323" s="11">
        <v>362.29</v>
      </c>
      <c r="G323" s="11">
        <v>533712528</v>
      </c>
      <c r="H323" s="11">
        <v>3</v>
      </c>
      <c r="I323" s="11">
        <f>SalesData[[#This Row],[Price]]*SalesData[[#This Row],[Quantity]]</f>
        <v>1086.8700000000001</v>
      </c>
      <c r="J323" s="11" t="str">
        <f t="shared" si="5"/>
        <v>Low</v>
      </c>
      <c r="K323" s="21" t="s">
        <v>290</v>
      </c>
    </row>
    <row r="324" spans="1:11">
      <c r="A324" s="10">
        <v>43775</v>
      </c>
      <c r="B324" s="11" t="s">
        <v>9</v>
      </c>
      <c r="C324" s="11">
        <v>1004873</v>
      </c>
      <c r="D324" s="11" t="s">
        <v>11</v>
      </c>
      <c r="E324" s="11" t="s">
        <v>13</v>
      </c>
      <c r="F324" s="11">
        <v>362.29</v>
      </c>
      <c r="G324" s="11">
        <v>538788180</v>
      </c>
      <c r="H324" s="11">
        <v>5</v>
      </c>
      <c r="I324" s="11">
        <f>SalesData[[#This Row],[Price]]*SalesData[[#This Row],[Quantity]]</f>
        <v>1811.45</v>
      </c>
      <c r="J324" s="11" t="str">
        <f t="shared" si="5"/>
        <v>Low</v>
      </c>
      <c r="K324" s="21" t="s">
        <v>290</v>
      </c>
    </row>
    <row r="325" spans="1:11">
      <c r="A325" s="10">
        <v>43771</v>
      </c>
      <c r="B325" s="11" t="s">
        <v>9</v>
      </c>
      <c r="C325" s="11">
        <v>1004992</v>
      </c>
      <c r="D325" s="11" t="s">
        <v>11</v>
      </c>
      <c r="E325" s="11" t="s">
        <v>47</v>
      </c>
      <c r="F325" s="11">
        <v>257.38</v>
      </c>
      <c r="G325" s="11">
        <v>544649718</v>
      </c>
      <c r="H325" s="11">
        <v>4</v>
      </c>
      <c r="I325" s="11">
        <f>SalesData[[#This Row],[Price]]*SalesData[[#This Row],[Quantity]]</f>
        <v>1029.52</v>
      </c>
      <c r="J325" s="11" t="str">
        <f t="shared" si="5"/>
        <v>Low</v>
      </c>
      <c r="K325" s="21" t="s">
        <v>290</v>
      </c>
    </row>
    <row r="326" spans="1:11">
      <c r="A326" s="10">
        <v>43782</v>
      </c>
      <c r="B326" s="11" t="s">
        <v>9</v>
      </c>
      <c r="C326" s="11">
        <v>1004990</v>
      </c>
      <c r="D326" s="11" t="s">
        <v>11</v>
      </c>
      <c r="E326" s="11" t="s">
        <v>47</v>
      </c>
      <c r="F326" s="11">
        <v>257.38</v>
      </c>
      <c r="G326" s="11">
        <v>566103025</v>
      </c>
      <c r="H326" s="11">
        <v>4</v>
      </c>
      <c r="I326" s="11">
        <f>SalesData[[#This Row],[Price]]*SalesData[[#This Row],[Quantity]]</f>
        <v>1029.52</v>
      </c>
      <c r="J326" s="11" t="str">
        <f t="shared" si="5"/>
        <v>Low</v>
      </c>
      <c r="K326" s="21" t="s">
        <v>290</v>
      </c>
    </row>
    <row r="327" spans="1:11">
      <c r="A327" s="10">
        <v>43778</v>
      </c>
      <c r="B327" s="11" t="s">
        <v>9</v>
      </c>
      <c r="C327" s="11">
        <v>15100337</v>
      </c>
      <c r="D327" s="11" t="s">
        <v>235</v>
      </c>
      <c r="E327" s="11" t="s">
        <v>235</v>
      </c>
      <c r="F327" s="11">
        <v>257.14999999999998</v>
      </c>
      <c r="G327" s="11">
        <v>525589257</v>
      </c>
      <c r="H327" s="11">
        <v>3</v>
      </c>
      <c r="I327" s="11">
        <f>SalesData[[#This Row],[Price]]*SalesData[[#This Row],[Quantity]]</f>
        <v>771.44999999999993</v>
      </c>
      <c r="J327" s="11" t="str">
        <f t="shared" si="5"/>
        <v>Low</v>
      </c>
      <c r="K327" s="21" t="s">
        <v>235</v>
      </c>
    </row>
    <row r="328" spans="1:11">
      <c r="A328" s="10">
        <v>43781</v>
      </c>
      <c r="B328" s="11" t="s">
        <v>9</v>
      </c>
      <c r="C328" s="11">
        <v>15100337</v>
      </c>
      <c r="D328" s="11" t="s">
        <v>235</v>
      </c>
      <c r="E328" s="11" t="s">
        <v>235</v>
      </c>
      <c r="F328" s="11">
        <v>257.14999999999998</v>
      </c>
      <c r="G328" s="11">
        <v>524856701</v>
      </c>
      <c r="H328" s="11">
        <v>1</v>
      </c>
      <c r="I328" s="11">
        <f>SalesData[[#This Row],[Price]]*SalesData[[#This Row],[Quantity]]</f>
        <v>257.14999999999998</v>
      </c>
      <c r="J328" s="11" t="str">
        <f t="shared" si="5"/>
        <v>Low</v>
      </c>
      <c r="K328" s="21" t="s">
        <v>235</v>
      </c>
    </row>
    <row r="329" spans="1:11">
      <c r="A329" s="10">
        <v>43781</v>
      </c>
      <c r="B329" s="11" t="s">
        <v>9</v>
      </c>
      <c r="C329" s="11">
        <v>1003772</v>
      </c>
      <c r="D329" s="11" t="s">
        <v>11</v>
      </c>
      <c r="E329" s="11" t="s">
        <v>60</v>
      </c>
      <c r="F329" s="11">
        <v>257.12</v>
      </c>
      <c r="G329" s="11">
        <v>558997994</v>
      </c>
      <c r="H329" s="11">
        <v>3</v>
      </c>
      <c r="I329" s="11">
        <f>SalesData[[#This Row],[Price]]*SalesData[[#This Row],[Quantity]]</f>
        <v>771.36</v>
      </c>
      <c r="J329" s="11" t="str">
        <f t="shared" si="5"/>
        <v>Low</v>
      </c>
      <c r="K329" s="21" t="s">
        <v>290</v>
      </c>
    </row>
    <row r="330" spans="1:11">
      <c r="A330" s="10">
        <v>43773</v>
      </c>
      <c r="B330" s="11" t="s">
        <v>9</v>
      </c>
      <c r="C330" s="11">
        <v>1005205</v>
      </c>
      <c r="D330" s="11" t="s">
        <v>11</v>
      </c>
      <c r="E330" s="11" t="s">
        <v>47</v>
      </c>
      <c r="F330" s="11">
        <v>256.74</v>
      </c>
      <c r="G330" s="11">
        <v>525970979</v>
      </c>
      <c r="H330" s="11">
        <v>3</v>
      </c>
      <c r="I330" s="11">
        <f>SalesData[[#This Row],[Price]]*SalesData[[#This Row],[Quantity]]</f>
        <v>770.22</v>
      </c>
      <c r="J330" s="11" t="str">
        <f t="shared" si="5"/>
        <v>Low</v>
      </c>
      <c r="K330" s="21" t="s">
        <v>290</v>
      </c>
    </row>
    <row r="331" spans="1:11">
      <c r="A331" s="10">
        <v>43770</v>
      </c>
      <c r="B331" s="11" t="s">
        <v>9</v>
      </c>
      <c r="C331" s="11">
        <v>1005205</v>
      </c>
      <c r="D331" s="11" t="s">
        <v>11</v>
      </c>
      <c r="E331" s="11" t="s">
        <v>47</v>
      </c>
      <c r="F331" s="11">
        <v>256.74</v>
      </c>
      <c r="G331" s="11">
        <v>537707520</v>
      </c>
      <c r="H331" s="11">
        <v>3</v>
      </c>
      <c r="I331" s="11">
        <f>SalesData[[#This Row],[Price]]*SalesData[[#This Row],[Quantity]]</f>
        <v>770.22</v>
      </c>
      <c r="J331" s="11" t="str">
        <f t="shared" si="5"/>
        <v>Low</v>
      </c>
      <c r="K331" s="21" t="s">
        <v>290</v>
      </c>
    </row>
    <row r="332" spans="1:11">
      <c r="A332" s="10">
        <v>43782</v>
      </c>
      <c r="B332" s="11" t="s">
        <v>9</v>
      </c>
      <c r="C332" s="11">
        <v>30000218</v>
      </c>
      <c r="D332" s="11" t="s">
        <v>18</v>
      </c>
      <c r="E332" s="11" t="s">
        <v>19</v>
      </c>
      <c r="F332" s="11">
        <v>254.78</v>
      </c>
      <c r="G332" s="11">
        <v>515240495</v>
      </c>
      <c r="H332" s="11">
        <v>1</v>
      </c>
      <c r="I332" s="11">
        <f>SalesData[[#This Row],[Price]]*SalesData[[#This Row],[Quantity]]</f>
        <v>254.78</v>
      </c>
      <c r="J332" s="11" t="str">
        <f t="shared" si="5"/>
        <v>Low</v>
      </c>
      <c r="K332" s="21" t="s">
        <v>294</v>
      </c>
    </row>
    <row r="333" spans="1:11">
      <c r="A333" s="10">
        <v>43783</v>
      </c>
      <c r="B333" s="11" t="s">
        <v>9</v>
      </c>
      <c r="C333" s="11">
        <v>1004781</v>
      </c>
      <c r="D333" s="11" t="s">
        <v>11</v>
      </c>
      <c r="E333" s="11" t="s">
        <v>60</v>
      </c>
      <c r="F333" s="11">
        <v>254.71</v>
      </c>
      <c r="G333" s="11">
        <v>558997994</v>
      </c>
      <c r="H333" s="11">
        <v>2</v>
      </c>
      <c r="I333" s="11">
        <f>SalesData[[#This Row],[Price]]*SalesData[[#This Row],[Quantity]]</f>
        <v>509.42</v>
      </c>
      <c r="J333" s="11" t="str">
        <f t="shared" si="5"/>
        <v>Low</v>
      </c>
      <c r="K333" s="21" t="s">
        <v>290</v>
      </c>
    </row>
    <row r="334" spans="1:11">
      <c r="A334" s="10">
        <v>43775</v>
      </c>
      <c r="B334" s="11" t="s">
        <v>9</v>
      </c>
      <c r="C334" s="11">
        <v>1307478</v>
      </c>
      <c r="D334" s="11" t="s">
        <v>69</v>
      </c>
      <c r="E334" s="11" t="s">
        <v>123</v>
      </c>
      <c r="F334" s="11">
        <v>252.23</v>
      </c>
      <c r="G334" s="11">
        <v>559982783</v>
      </c>
      <c r="H334" s="11">
        <v>2</v>
      </c>
      <c r="I334" s="11">
        <f>SalesData[[#This Row],[Price]]*SalesData[[#This Row],[Quantity]]</f>
        <v>504.46</v>
      </c>
      <c r="J334" s="11" t="str">
        <f t="shared" si="5"/>
        <v>Low</v>
      </c>
      <c r="K334" s="21" t="s">
        <v>291</v>
      </c>
    </row>
    <row r="335" spans="1:11">
      <c r="A335" s="10">
        <v>43784</v>
      </c>
      <c r="B335" s="11" t="s">
        <v>9</v>
      </c>
      <c r="C335" s="11">
        <v>1307478</v>
      </c>
      <c r="D335" s="11" t="s">
        <v>69</v>
      </c>
      <c r="E335" s="11" t="s">
        <v>123</v>
      </c>
      <c r="F335" s="11">
        <v>252.23</v>
      </c>
      <c r="G335" s="11">
        <v>565993807</v>
      </c>
      <c r="H335" s="11">
        <v>1</v>
      </c>
      <c r="I335" s="11">
        <f>SalesData[[#This Row],[Price]]*SalesData[[#This Row],[Quantity]]</f>
        <v>252.23</v>
      </c>
      <c r="J335" s="11" t="str">
        <f t="shared" si="5"/>
        <v>Low</v>
      </c>
      <c r="K335" s="21" t="s">
        <v>291</v>
      </c>
    </row>
    <row r="336" spans="1:11">
      <c r="A336" s="10">
        <v>43780</v>
      </c>
      <c r="B336" s="11" t="s">
        <v>9</v>
      </c>
      <c r="C336" s="11">
        <v>1307478</v>
      </c>
      <c r="D336" s="11" t="s">
        <v>69</v>
      </c>
      <c r="E336" s="11" t="s">
        <v>123</v>
      </c>
      <c r="F336" s="11">
        <v>252.23</v>
      </c>
      <c r="G336" s="11">
        <v>565993807</v>
      </c>
      <c r="H336" s="11">
        <v>2</v>
      </c>
      <c r="I336" s="11">
        <f>SalesData[[#This Row],[Price]]*SalesData[[#This Row],[Quantity]]</f>
        <v>504.46</v>
      </c>
      <c r="J336" s="11" t="str">
        <f t="shared" si="5"/>
        <v>Low</v>
      </c>
      <c r="K336" s="21" t="s">
        <v>291</v>
      </c>
    </row>
    <row r="337" spans="1:11">
      <c r="A337" s="10">
        <v>43783</v>
      </c>
      <c r="B337" s="11" t="s">
        <v>9</v>
      </c>
      <c r="C337" s="11">
        <v>1801848</v>
      </c>
      <c r="D337" s="11" t="s">
        <v>15</v>
      </c>
      <c r="E337" s="11" t="s">
        <v>103</v>
      </c>
      <c r="F337" s="11">
        <v>251.95</v>
      </c>
      <c r="G337" s="11">
        <v>566293397</v>
      </c>
      <c r="H337" s="11">
        <v>3</v>
      </c>
      <c r="I337" s="11">
        <f>SalesData[[#This Row],[Price]]*SalesData[[#This Row],[Quantity]]</f>
        <v>755.84999999999991</v>
      </c>
      <c r="J337" s="11" t="str">
        <f t="shared" si="5"/>
        <v>Low</v>
      </c>
      <c r="K337" s="21" t="s">
        <v>290</v>
      </c>
    </row>
    <row r="338" spans="1:11">
      <c r="A338" s="10">
        <v>43773</v>
      </c>
      <c r="B338" s="11" t="s">
        <v>9</v>
      </c>
      <c r="C338" s="11">
        <v>14700139</v>
      </c>
      <c r="D338" s="11" t="s">
        <v>117</v>
      </c>
      <c r="E338" s="11" t="s">
        <v>235</v>
      </c>
      <c r="F338" s="11">
        <v>244.02</v>
      </c>
      <c r="G338" s="11">
        <v>559964109</v>
      </c>
      <c r="H338" s="11">
        <v>1</v>
      </c>
      <c r="I338" s="11">
        <f>SalesData[[#This Row],[Price]]*SalesData[[#This Row],[Quantity]]</f>
        <v>244.02</v>
      </c>
      <c r="J338" s="11" t="str">
        <f t="shared" si="5"/>
        <v>Low</v>
      </c>
      <c r="K338" s="21" t="s">
        <v>293</v>
      </c>
    </row>
    <row r="339" spans="1:11">
      <c r="A339" s="10">
        <v>43778</v>
      </c>
      <c r="B339" s="11" t="s">
        <v>9</v>
      </c>
      <c r="C339" s="11">
        <v>7400055</v>
      </c>
      <c r="D339" s="11" t="s">
        <v>235</v>
      </c>
      <c r="E339" s="11" t="s">
        <v>99</v>
      </c>
      <c r="F339" s="11">
        <v>243.96</v>
      </c>
      <c r="G339" s="11">
        <v>513221406</v>
      </c>
      <c r="H339" s="11">
        <v>1</v>
      </c>
      <c r="I339" s="11">
        <f>SalesData[[#This Row],[Price]]*SalesData[[#This Row],[Quantity]]</f>
        <v>243.96</v>
      </c>
      <c r="J339" s="11" t="str">
        <f t="shared" si="5"/>
        <v>Low</v>
      </c>
      <c r="K339" s="21" t="s">
        <v>235</v>
      </c>
    </row>
    <row r="340" spans="1:11">
      <c r="A340" s="10">
        <v>43775</v>
      </c>
      <c r="B340" s="11" t="s">
        <v>9</v>
      </c>
      <c r="C340" s="11">
        <v>1004873</v>
      </c>
      <c r="D340" s="11" t="s">
        <v>11</v>
      </c>
      <c r="E340" s="11" t="s">
        <v>13</v>
      </c>
      <c r="F340" s="11">
        <v>362.29</v>
      </c>
      <c r="G340" s="11">
        <v>560474415</v>
      </c>
      <c r="H340" s="11">
        <v>2</v>
      </c>
      <c r="I340" s="11">
        <f>SalesData[[#This Row],[Price]]*SalesData[[#This Row],[Quantity]]</f>
        <v>724.58</v>
      </c>
      <c r="J340" s="11" t="str">
        <f t="shared" si="5"/>
        <v>Low</v>
      </c>
      <c r="K340" s="21" t="s">
        <v>290</v>
      </c>
    </row>
    <row r="341" spans="1:11">
      <c r="A341" s="10">
        <v>43779</v>
      </c>
      <c r="B341" s="11" t="s">
        <v>9</v>
      </c>
      <c r="C341" s="11">
        <v>1004873</v>
      </c>
      <c r="D341" s="11" t="s">
        <v>11</v>
      </c>
      <c r="E341" s="11" t="s">
        <v>13</v>
      </c>
      <c r="F341" s="11">
        <v>362.29</v>
      </c>
      <c r="G341" s="11">
        <v>541877069</v>
      </c>
      <c r="H341" s="11">
        <v>1</v>
      </c>
      <c r="I341" s="11">
        <f>SalesData[[#This Row],[Price]]*SalesData[[#This Row],[Quantity]]</f>
        <v>362.29</v>
      </c>
      <c r="J341" s="11" t="str">
        <f t="shared" si="5"/>
        <v>Low</v>
      </c>
      <c r="K341" s="21" t="s">
        <v>290</v>
      </c>
    </row>
    <row r="342" spans="1:11">
      <c r="A342" s="10">
        <v>43779</v>
      </c>
      <c r="B342" s="11" t="s">
        <v>9</v>
      </c>
      <c r="C342" s="11">
        <v>1004873</v>
      </c>
      <c r="D342" s="11" t="s">
        <v>11</v>
      </c>
      <c r="E342" s="11" t="s">
        <v>13</v>
      </c>
      <c r="F342" s="11">
        <v>362.29</v>
      </c>
      <c r="G342" s="11">
        <v>521781833</v>
      </c>
      <c r="H342" s="11">
        <v>1</v>
      </c>
      <c r="I342" s="11">
        <f>SalesData[[#This Row],[Price]]*SalesData[[#This Row],[Quantity]]</f>
        <v>362.29</v>
      </c>
      <c r="J342" s="11" t="str">
        <f t="shared" si="5"/>
        <v>Low</v>
      </c>
      <c r="K342" s="21" t="s">
        <v>290</v>
      </c>
    </row>
    <row r="343" spans="1:11">
      <c r="A343" s="10">
        <v>43774</v>
      </c>
      <c r="B343" s="11" t="s">
        <v>9</v>
      </c>
      <c r="C343" s="11">
        <v>1004433</v>
      </c>
      <c r="D343" s="11" t="s">
        <v>11</v>
      </c>
      <c r="E343" s="11" t="s">
        <v>13</v>
      </c>
      <c r="F343" s="11">
        <v>313.77999999999997</v>
      </c>
      <c r="G343" s="11">
        <v>530337676</v>
      </c>
      <c r="H343" s="11">
        <v>4</v>
      </c>
      <c r="I343" s="11">
        <f>SalesData[[#This Row],[Price]]*SalesData[[#This Row],[Quantity]]</f>
        <v>1255.1199999999999</v>
      </c>
      <c r="J343" s="11" t="str">
        <f t="shared" si="5"/>
        <v>Low</v>
      </c>
      <c r="K343" s="21" t="s">
        <v>290</v>
      </c>
    </row>
    <row r="344" spans="1:11">
      <c r="A344" s="10">
        <v>43777</v>
      </c>
      <c r="B344" s="11" t="s">
        <v>9</v>
      </c>
      <c r="C344" s="11">
        <v>3600661</v>
      </c>
      <c r="D344" s="11" t="s">
        <v>81</v>
      </c>
      <c r="E344" s="11" t="s">
        <v>13</v>
      </c>
      <c r="F344" s="11">
        <v>306.05</v>
      </c>
      <c r="G344" s="11">
        <v>521339065</v>
      </c>
      <c r="H344" s="11">
        <v>4</v>
      </c>
      <c r="I344" s="11">
        <f>SalesData[[#This Row],[Price]]*SalesData[[#This Row],[Quantity]]</f>
        <v>1224.2</v>
      </c>
      <c r="J344" s="11" t="str">
        <f t="shared" si="5"/>
        <v>Low</v>
      </c>
      <c r="K344" s="21" t="s">
        <v>292</v>
      </c>
    </row>
    <row r="345" spans="1:11">
      <c r="A345" s="10">
        <v>43782</v>
      </c>
      <c r="B345" s="11" t="s">
        <v>9</v>
      </c>
      <c r="C345" s="11">
        <v>3600661</v>
      </c>
      <c r="D345" s="11" t="s">
        <v>81</v>
      </c>
      <c r="E345" s="11" t="s">
        <v>13</v>
      </c>
      <c r="F345" s="11">
        <v>306.05</v>
      </c>
      <c r="G345" s="11">
        <v>548450778</v>
      </c>
      <c r="H345" s="11">
        <v>3</v>
      </c>
      <c r="I345" s="11">
        <f>SalesData[[#This Row],[Price]]*SalesData[[#This Row],[Quantity]]</f>
        <v>918.15000000000009</v>
      </c>
      <c r="J345" s="11" t="str">
        <f t="shared" si="5"/>
        <v>Low</v>
      </c>
      <c r="K345" s="21" t="s">
        <v>292</v>
      </c>
    </row>
    <row r="346" spans="1:11">
      <c r="A346" s="10">
        <v>43777</v>
      </c>
      <c r="B346" s="11" t="s">
        <v>9</v>
      </c>
      <c r="C346" s="11">
        <v>1003533</v>
      </c>
      <c r="D346" s="11" t="s">
        <v>11</v>
      </c>
      <c r="E346" s="11" t="s">
        <v>13</v>
      </c>
      <c r="F346" s="11">
        <v>301.08</v>
      </c>
      <c r="G346" s="11">
        <v>533991269</v>
      </c>
      <c r="H346" s="11">
        <v>3</v>
      </c>
      <c r="I346" s="11">
        <f>SalesData[[#This Row],[Price]]*SalesData[[#This Row],[Quantity]]</f>
        <v>903.24</v>
      </c>
      <c r="J346" s="11" t="str">
        <f t="shared" si="5"/>
        <v>Low</v>
      </c>
      <c r="K346" s="21" t="s">
        <v>290</v>
      </c>
    </row>
    <row r="347" spans="1:11">
      <c r="A347" s="10">
        <v>43770</v>
      </c>
      <c r="B347" s="11" t="s">
        <v>9</v>
      </c>
      <c r="C347" s="11">
        <v>5100577</v>
      </c>
      <c r="D347" s="11" t="s">
        <v>45</v>
      </c>
      <c r="E347" s="11" t="s">
        <v>13</v>
      </c>
      <c r="F347" s="11">
        <v>290.82</v>
      </c>
      <c r="G347" s="11">
        <v>555749528</v>
      </c>
      <c r="H347" s="11">
        <v>4</v>
      </c>
      <c r="I347" s="11">
        <f>SalesData[[#This Row],[Price]]*SalesData[[#This Row],[Quantity]]</f>
        <v>1163.28</v>
      </c>
      <c r="J347" s="11" t="str">
        <f t="shared" si="5"/>
        <v>Low</v>
      </c>
      <c r="K347" s="21" t="s">
        <v>290</v>
      </c>
    </row>
    <row r="348" spans="1:11">
      <c r="A348" s="10">
        <v>43773</v>
      </c>
      <c r="B348" s="11" t="s">
        <v>9</v>
      </c>
      <c r="C348" s="11">
        <v>5100577</v>
      </c>
      <c r="D348" s="11" t="s">
        <v>45</v>
      </c>
      <c r="E348" s="11" t="s">
        <v>13</v>
      </c>
      <c r="F348" s="11">
        <v>290.82</v>
      </c>
      <c r="G348" s="11">
        <v>555749528</v>
      </c>
      <c r="H348" s="11">
        <v>2</v>
      </c>
      <c r="I348" s="11">
        <f>SalesData[[#This Row],[Price]]*SalesData[[#This Row],[Quantity]]</f>
        <v>581.64</v>
      </c>
      <c r="J348" s="11" t="str">
        <f t="shared" si="5"/>
        <v>Low</v>
      </c>
      <c r="K348" s="21" t="s">
        <v>290</v>
      </c>
    </row>
    <row r="349" spans="1:11">
      <c r="A349" s="10">
        <v>43774</v>
      </c>
      <c r="B349" s="11" t="s">
        <v>9</v>
      </c>
      <c r="C349" s="11">
        <v>5100577</v>
      </c>
      <c r="D349" s="11" t="s">
        <v>45</v>
      </c>
      <c r="E349" s="11" t="s">
        <v>13</v>
      </c>
      <c r="F349" s="11">
        <v>290.82</v>
      </c>
      <c r="G349" s="11">
        <v>523298376</v>
      </c>
      <c r="H349" s="11">
        <v>5</v>
      </c>
      <c r="I349" s="11">
        <f>SalesData[[#This Row],[Price]]*SalesData[[#This Row],[Quantity]]</f>
        <v>1454.1</v>
      </c>
      <c r="J349" s="11" t="str">
        <f t="shared" si="5"/>
        <v>Low</v>
      </c>
      <c r="K349" s="21" t="s">
        <v>290</v>
      </c>
    </row>
    <row r="350" spans="1:11">
      <c r="A350" s="10">
        <v>43777</v>
      </c>
      <c r="B350" s="11" t="s">
        <v>9</v>
      </c>
      <c r="C350" s="11">
        <v>1004870</v>
      </c>
      <c r="D350" s="11" t="s">
        <v>11</v>
      </c>
      <c r="E350" s="11" t="s">
        <v>13</v>
      </c>
      <c r="F350" s="11">
        <v>275.25</v>
      </c>
      <c r="G350" s="11">
        <v>554096532</v>
      </c>
      <c r="H350" s="11">
        <v>4</v>
      </c>
      <c r="I350" s="11">
        <f>SalesData[[#This Row],[Price]]*SalesData[[#This Row],[Quantity]]</f>
        <v>1101</v>
      </c>
      <c r="J350" s="11" t="str">
        <f t="shared" si="5"/>
        <v>Low</v>
      </c>
      <c r="K350" s="21" t="s">
        <v>290</v>
      </c>
    </row>
    <row r="351" spans="1:11">
      <c r="A351" s="10">
        <v>43775</v>
      </c>
      <c r="B351" s="11" t="s">
        <v>9</v>
      </c>
      <c r="C351" s="11">
        <v>1004870</v>
      </c>
      <c r="D351" s="11" t="s">
        <v>11</v>
      </c>
      <c r="E351" s="11" t="s">
        <v>13</v>
      </c>
      <c r="F351" s="11">
        <v>275.25</v>
      </c>
      <c r="G351" s="11">
        <v>554096532</v>
      </c>
      <c r="H351" s="11">
        <v>4</v>
      </c>
      <c r="I351" s="11">
        <f>SalesData[[#This Row],[Price]]*SalesData[[#This Row],[Quantity]]</f>
        <v>1101</v>
      </c>
      <c r="J351" s="11" t="str">
        <f t="shared" si="5"/>
        <v>Low</v>
      </c>
      <c r="K351" s="21" t="s">
        <v>290</v>
      </c>
    </row>
    <row r="352" spans="1:11">
      <c r="A352" s="10">
        <v>43780</v>
      </c>
      <c r="B352" s="11" t="s">
        <v>9</v>
      </c>
      <c r="C352" s="11">
        <v>1004870</v>
      </c>
      <c r="D352" s="11" t="s">
        <v>11</v>
      </c>
      <c r="E352" s="11" t="s">
        <v>13</v>
      </c>
      <c r="F352" s="11">
        <v>275.25</v>
      </c>
      <c r="G352" s="11">
        <v>566289907</v>
      </c>
      <c r="H352" s="11">
        <v>3</v>
      </c>
      <c r="I352" s="11">
        <f>SalesData[[#This Row],[Price]]*SalesData[[#This Row],[Quantity]]</f>
        <v>825.75</v>
      </c>
      <c r="J352" s="11" t="str">
        <f t="shared" si="5"/>
        <v>Low</v>
      </c>
      <c r="K352" s="21" t="s">
        <v>290</v>
      </c>
    </row>
    <row r="353" spans="1:11">
      <c r="A353" s="10">
        <v>43784</v>
      </c>
      <c r="B353" s="11" t="s">
        <v>9</v>
      </c>
      <c r="C353" s="11">
        <v>1004870</v>
      </c>
      <c r="D353" s="11" t="s">
        <v>11</v>
      </c>
      <c r="E353" s="11" t="s">
        <v>13</v>
      </c>
      <c r="F353" s="11">
        <v>275.25</v>
      </c>
      <c r="G353" s="11">
        <v>519456951</v>
      </c>
      <c r="H353" s="11">
        <v>5</v>
      </c>
      <c r="I353" s="11">
        <f>SalesData[[#This Row],[Price]]*SalesData[[#This Row],[Quantity]]</f>
        <v>1376.25</v>
      </c>
      <c r="J353" s="11" t="str">
        <f t="shared" si="5"/>
        <v>Low</v>
      </c>
      <c r="K353" s="21" t="s">
        <v>290</v>
      </c>
    </row>
    <row r="354" spans="1:11">
      <c r="A354" s="10">
        <v>43775</v>
      </c>
      <c r="B354" s="11" t="s">
        <v>9</v>
      </c>
      <c r="C354" s="11">
        <v>1004870</v>
      </c>
      <c r="D354" s="11" t="s">
        <v>11</v>
      </c>
      <c r="E354" s="11" t="s">
        <v>13</v>
      </c>
      <c r="F354" s="11">
        <v>275.25</v>
      </c>
      <c r="G354" s="11">
        <v>536113062</v>
      </c>
      <c r="H354" s="11">
        <v>5</v>
      </c>
      <c r="I354" s="11">
        <f>SalesData[[#This Row],[Price]]*SalesData[[#This Row],[Quantity]]</f>
        <v>1376.25</v>
      </c>
      <c r="J354" s="11" t="str">
        <f t="shared" si="5"/>
        <v>Low</v>
      </c>
      <c r="K354" s="21" t="s">
        <v>290</v>
      </c>
    </row>
    <row r="355" spans="1:11">
      <c r="A355" s="10">
        <v>43780</v>
      </c>
      <c r="B355" s="11" t="s">
        <v>9</v>
      </c>
      <c r="C355" s="11">
        <v>1004870</v>
      </c>
      <c r="D355" s="11" t="s">
        <v>11</v>
      </c>
      <c r="E355" s="11" t="s">
        <v>13</v>
      </c>
      <c r="F355" s="11">
        <v>275.25</v>
      </c>
      <c r="G355" s="11">
        <v>566295540</v>
      </c>
      <c r="H355" s="11">
        <v>1</v>
      </c>
      <c r="I355" s="11">
        <f>SalesData[[#This Row],[Price]]*SalesData[[#This Row],[Quantity]]</f>
        <v>275.25</v>
      </c>
      <c r="J355" s="11" t="str">
        <f t="shared" si="5"/>
        <v>Low</v>
      </c>
      <c r="K355" s="21" t="s">
        <v>290</v>
      </c>
    </row>
    <row r="356" spans="1:11">
      <c r="A356" s="10">
        <v>43774</v>
      </c>
      <c r="B356" s="11" t="s">
        <v>9</v>
      </c>
      <c r="C356" s="11">
        <v>1004870</v>
      </c>
      <c r="D356" s="11" t="s">
        <v>11</v>
      </c>
      <c r="E356" s="11" t="s">
        <v>13</v>
      </c>
      <c r="F356" s="11">
        <v>275.25</v>
      </c>
      <c r="G356" s="11">
        <v>566296330</v>
      </c>
      <c r="H356" s="11">
        <v>2</v>
      </c>
      <c r="I356" s="11">
        <f>SalesData[[#This Row],[Price]]*SalesData[[#This Row],[Quantity]]</f>
        <v>550.5</v>
      </c>
      <c r="J356" s="11" t="str">
        <f t="shared" si="5"/>
        <v>Low</v>
      </c>
      <c r="K356" s="21" t="s">
        <v>290</v>
      </c>
    </row>
    <row r="357" spans="1:11">
      <c r="A357" s="10">
        <v>43776</v>
      </c>
      <c r="B357" s="11" t="s">
        <v>9</v>
      </c>
      <c r="C357" s="11">
        <v>1004870</v>
      </c>
      <c r="D357" s="11" t="s">
        <v>11</v>
      </c>
      <c r="E357" s="11" t="s">
        <v>13</v>
      </c>
      <c r="F357" s="11">
        <v>275.25</v>
      </c>
      <c r="G357" s="11">
        <v>514910022</v>
      </c>
      <c r="H357" s="11">
        <v>2</v>
      </c>
      <c r="I357" s="11">
        <f>SalesData[[#This Row],[Price]]*SalesData[[#This Row],[Quantity]]</f>
        <v>550.5</v>
      </c>
      <c r="J357" s="11" t="str">
        <f t="shared" si="5"/>
        <v>Low</v>
      </c>
      <c r="K357" s="21" t="s">
        <v>290</v>
      </c>
    </row>
    <row r="358" spans="1:11">
      <c r="A358" s="10">
        <v>43770</v>
      </c>
      <c r="B358" s="11" t="s">
        <v>9</v>
      </c>
      <c r="C358" s="11">
        <v>1004870</v>
      </c>
      <c r="D358" s="11" t="s">
        <v>11</v>
      </c>
      <c r="E358" s="11" t="s">
        <v>13</v>
      </c>
      <c r="F358" s="11">
        <v>275.25</v>
      </c>
      <c r="G358" s="11">
        <v>526620244</v>
      </c>
      <c r="H358" s="11">
        <v>2</v>
      </c>
      <c r="I358" s="11">
        <f>SalesData[[#This Row],[Price]]*SalesData[[#This Row],[Quantity]]</f>
        <v>550.5</v>
      </c>
      <c r="J358" s="11" t="str">
        <f t="shared" si="5"/>
        <v>Low</v>
      </c>
      <c r="K358" s="21" t="s">
        <v>290</v>
      </c>
    </row>
    <row r="359" spans="1:11">
      <c r="A359" s="10">
        <v>43783</v>
      </c>
      <c r="B359" s="11" t="s">
        <v>9</v>
      </c>
      <c r="C359" s="11">
        <v>1004870</v>
      </c>
      <c r="D359" s="11" t="s">
        <v>11</v>
      </c>
      <c r="E359" s="11" t="s">
        <v>13</v>
      </c>
      <c r="F359" s="11">
        <v>275.25</v>
      </c>
      <c r="G359" s="11">
        <v>540184002</v>
      </c>
      <c r="H359" s="11">
        <v>2</v>
      </c>
      <c r="I359" s="11">
        <f>SalesData[[#This Row],[Price]]*SalesData[[#This Row],[Quantity]]</f>
        <v>550.5</v>
      </c>
      <c r="J359" s="11" t="str">
        <f t="shared" si="5"/>
        <v>Low</v>
      </c>
      <c r="K359" s="21" t="s">
        <v>290</v>
      </c>
    </row>
    <row r="360" spans="1:11">
      <c r="A360" s="10">
        <v>43780</v>
      </c>
      <c r="B360" s="11" t="s">
        <v>9</v>
      </c>
      <c r="C360" s="11">
        <v>1004870</v>
      </c>
      <c r="D360" s="11" t="s">
        <v>11</v>
      </c>
      <c r="E360" s="11" t="s">
        <v>13</v>
      </c>
      <c r="F360" s="11">
        <v>275.25</v>
      </c>
      <c r="G360" s="11">
        <v>552409607</v>
      </c>
      <c r="H360" s="11">
        <v>3</v>
      </c>
      <c r="I360" s="11">
        <f>SalesData[[#This Row],[Price]]*SalesData[[#This Row],[Quantity]]</f>
        <v>825.75</v>
      </c>
      <c r="J360" s="11" t="str">
        <f t="shared" si="5"/>
        <v>Low</v>
      </c>
      <c r="K360" s="21" t="s">
        <v>290</v>
      </c>
    </row>
    <row r="361" spans="1:11">
      <c r="A361" s="10">
        <v>43770</v>
      </c>
      <c r="B361" s="11" t="s">
        <v>9</v>
      </c>
      <c r="C361" s="11">
        <v>1004870</v>
      </c>
      <c r="D361" s="11" t="s">
        <v>11</v>
      </c>
      <c r="E361" s="11" t="s">
        <v>13</v>
      </c>
      <c r="F361" s="11">
        <v>275.25</v>
      </c>
      <c r="G361" s="11">
        <v>563956702</v>
      </c>
      <c r="H361" s="11">
        <v>4</v>
      </c>
      <c r="I361" s="11">
        <f>SalesData[[#This Row],[Price]]*SalesData[[#This Row],[Quantity]]</f>
        <v>1101</v>
      </c>
      <c r="J361" s="11" t="str">
        <f t="shared" si="5"/>
        <v>Low</v>
      </c>
      <c r="K361" s="21" t="s">
        <v>290</v>
      </c>
    </row>
    <row r="362" spans="1:11">
      <c r="A362" s="10">
        <v>43781</v>
      </c>
      <c r="B362" s="11" t="s">
        <v>9</v>
      </c>
      <c r="C362" s="11">
        <v>1004870</v>
      </c>
      <c r="D362" s="11" t="s">
        <v>11</v>
      </c>
      <c r="E362" s="11" t="s">
        <v>13</v>
      </c>
      <c r="F362" s="11">
        <v>275.25</v>
      </c>
      <c r="G362" s="11">
        <v>566304925</v>
      </c>
      <c r="H362" s="11">
        <v>3</v>
      </c>
      <c r="I362" s="11">
        <f>SalesData[[#This Row],[Price]]*SalesData[[#This Row],[Quantity]]</f>
        <v>825.75</v>
      </c>
      <c r="J362" s="11" t="str">
        <f t="shared" si="5"/>
        <v>Low</v>
      </c>
      <c r="K362" s="21" t="s">
        <v>290</v>
      </c>
    </row>
    <row r="363" spans="1:11">
      <c r="A363" s="10">
        <v>43775</v>
      </c>
      <c r="B363" s="11" t="s">
        <v>9</v>
      </c>
      <c r="C363" s="11">
        <v>1004872</v>
      </c>
      <c r="D363" s="11" t="s">
        <v>11</v>
      </c>
      <c r="E363" s="11" t="s">
        <v>13</v>
      </c>
      <c r="F363" s="11">
        <v>273.56</v>
      </c>
      <c r="G363" s="11">
        <v>520240010</v>
      </c>
      <c r="H363" s="11">
        <v>1</v>
      </c>
      <c r="I363" s="11">
        <f>SalesData[[#This Row],[Price]]*SalesData[[#This Row],[Quantity]]</f>
        <v>273.56</v>
      </c>
      <c r="J363" s="11" t="str">
        <f t="shared" si="5"/>
        <v>Low</v>
      </c>
      <c r="K363" s="21" t="s">
        <v>290</v>
      </c>
    </row>
    <row r="364" spans="1:11">
      <c r="A364" s="10">
        <v>43784</v>
      </c>
      <c r="B364" s="11" t="s">
        <v>9</v>
      </c>
      <c r="C364" s="11">
        <v>1004872</v>
      </c>
      <c r="D364" s="11" t="s">
        <v>11</v>
      </c>
      <c r="E364" s="11" t="s">
        <v>13</v>
      </c>
      <c r="F364" s="11">
        <v>273.56</v>
      </c>
      <c r="G364" s="11">
        <v>561446528</v>
      </c>
      <c r="H364" s="11">
        <v>1</v>
      </c>
      <c r="I364" s="11">
        <f>SalesData[[#This Row],[Price]]*SalesData[[#This Row],[Quantity]]</f>
        <v>273.56</v>
      </c>
      <c r="J364" s="11" t="str">
        <f t="shared" si="5"/>
        <v>Low</v>
      </c>
      <c r="K364" s="21" t="s">
        <v>290</v>
      </c>
    </row>
    <row r="365" spans="1:11">
      <c r="A365" s="10">
        <v>43782</v>
      </c>
      <c r="B365" s="11" t="s">
        <v>9</v>
      </c>
      <c r="C365" s="11">
        <v>1801689</v>
      </c>
      <c r="D365" s="11" t="s">
        <v>15</v>
      </c>
      <c r="E365" s="11" t="s">
        <v>13</v>
      </c>
      <c r="F365" s="11">
        <v>261.64999999999998</v>
      </c>
      <c r="G365" s="11">
        <v>564799491</v>
      </c>
      <c r="H365" s="11">
        <v>3</v>
      </c>
      <c r="I365" s="11">
        <f>SalesData[[#This Row],[Price]]*SalesData[[#This Row],[Quantity]]</f>
        <v>784.94999999999993</v>
      </c>
      <c r="J365" s="11" t="str">
        <f t="shared" si="5"/>
        <v>Low</v>
      </c>
      <c r="K365" s="21" t="s">
        <v>290</v>
      </c>
    </row>
    <row r="366" spans="1:11">
      <c r="A366" s="10">
        <v>43783</v>
      </c>
      <c r="B366" s="11" t="s">
        <v>9</v>
      </c>
      <c r="C366" s="11">
        <v>5100564</v>
      </c>
      <c r="D366" s="11" t="s">
        <v>45</v>
      </c>
      <c r="E366" s="11" t="s">
        <v>13</v>
      </c>
      <c r="F366" s="11">
        <v>257.87</v>
      </c>
      <c r="G366" s="11">
        <v>564638626</v>
      </c>
      <c r="H366" s="11">
        <v>4</v>
      </c>
      <c r="I366" s="11">
        <f>SalesData[[#This Row],[Price]]*SalesData[[#This Row],[Quantity]]</f>
        <v>1031.48</v>
      </c>
      <c r="J366" s="11" t="str">
        <f t="shared" si="5"/>
        <v>Low</v>
      </c>
      <c r="K366" s="21" t="s">
        <v>290</v>
      </c>
    </row>
    <row r="367" spans="1:11">
      <c r="A367" s="10">
        <v>43776</v>
      </c>
      <c r="B367" s="11" t="s">
        <v>9</v>
      </c>
      <c r="C367" s="11">
        <v>1004768</v>
      </c>
      <c r="D367" s="11" t="s">
        <v>11</v>
      </c>
      <c r="E367" s="11" t="s">
        <v>13</v>
      </c>
      <c r="F367" s="11">
        <v>242.72</v>
      </c>
      <c r="G367" s="11">
        <v>566282818</v>
      </c>
      <c r="H367" s="11">
        <v>1</v>
      </c>
      <c r="I367" s="11">
        <f>SalesData[[#This Row],[Price]]*SalesData[[#This Row],[Quantity]]</f>
        <v>242.72</v>
      </c>
      <c r="J367" s="11" t="str">
        <f t="shared" si="5"/>
        <v>Low</v>
      </c>
      <c r="K367" s="21" t="s">
        <v>290</v>
      </c>
    </row>
    <row r="368" spans="1:11">
      <c r="A368" s="10">
        <v>43771</v>
      </c>
      <c r="B368" s="11" t="s">
        <v>9</v>
      </c>
      <c r="C368" s="11">
        <v>1004768</v>
      </c>
      <c r="D368" s="11" t="s">
        <v>11</v>
      </c>
      <c r="E368" s="11" t="s">
        <v>13</v>
      </c>
      <c r="F368" s="11">
        <v>242.72</v>
      </c>
      <c r="G368" s="11">
        <v>566282818</v>
      </c>
      <c r="H368" s="11">
        <v>4</v>
      </c>
      <c r="I368" s="11">
        <f>SalesData[[#This Row],[Price]]*SalesData[[#This Row],[Quantity]]</f>
        <v>970.88</v>
      </c>
      <c r="J368" s="11" t="str">
        <f t="shared" si="5"/>
        <v>Low</v>
      </c>
      <c r="K368" s="21" t="s">
        <v>290</v>
      </c>
    </row>
    <row r="369" spans="1:11">
      <c r="A369" s="10">
        <v>43771</v>
      </c>
      <c r="B369" s="11" t="s">
        <v>9</v>
      </c>
      <c r="C369" s="11">
        <v>1004768</v>
      </c>
      <c r="D369" s="11" t="s">
        <v>11</v>
      </c>
      <c r="E369" s="11" t="s">
        <v>13</v>
      </c>
      <c r="F369" s="11">
        <v>242.72</v>
      </c>
      <c r="G369" s="11">
        <v>486999716</v>
      </c>
      <c r="H369" s="11">
        <v>4</v>
      </c>
      <c r="I369" s="11">
        <f>SalesData[[#This Row],[Price]]*SalesData[[#This Row],[Quantity]]</f>
        <v>970.88</v>
      </c>
      <c r="J369" s="11" t="str">
        <f t="shared" si="5"/>
        <v>Low</v>
      </c>
      <c r="K369" s="21" t="s">
        <v>290</v>
      </c>
    </row>
    <row r="370" spans="1:11">
      <c r="A370" s="10">
        <v>43773</v>
      </c>
      <c r="B370" s="11" t="s">
        <v>9</v>
      </c>
      <c r="C370" s="11">
        <v>1004766</v>
      </c>
      <c r="D370" s="11" t="s">
        <v>11</v>
      </c>
      <c r="E370" s="11" t="s">
        <v>13</v>
      </c>
      <c r="F370" s="11">
        <v>242.72</v>
      </c>
      <c r="G370" s="11">
        <v>512400164</v>
      </c>
      <c r="H370" s="11">
        <v>4</v>
      </c>
      <c r="I370" s="11">
        <f>SalesData[[#This Row],[Price]]*SalesData[[#This Row],[Quantity]]</f>
        <v>970.88</v>
      </c>
      <c r="J370" s="11" t="str">
        <f t="shared" si="5"/>
        <v>Low</v>
      </c>
      <c r="K370" s="21" t="s">
        <v>290</v>
      </c>
    </row>
    <row r="371" spans="1:11">
      <c r="A371" s="10">
        <v>43778</v>
      </c>
      <c r="B371" s="11" t="s">
        <v>9</v>
      </c>
      <c r="C371" s="11">
        <v>1004766</v>
      </c>
      <c r="D371" s="11" t="s">
        <v>11</v>
      </c>
      <c r="E371" s="11" t="s">
        <v>13</v>
      </c>
      <c r="F371" s="11">
        <v>242.72</v>
      </c>
      <c r="G371" s="11">
        <v>537751883</v>
      </c>
      <c r="H371" s="11">
        <v>5</v>
      </c>
      <c r="I371" s="11">
        <f>SalesData[[#This Row],[Price]]*SalesData[[#This Row],[Quantity]]</f>
        <v>1213.5999999999999</v>
      </c>
      <c r="J371" s="11" t="str">
        <f t="shared" si="5"/>
        <v>Low</v>
      </c>
      <c r="K371" s="21" t="s">
        <v>290</v>
      </c>
    </row>
    <row r="372" spans="1:11">
      <c r="A372" s="10">
        <v>43772</v>
      </c>
      <c r="B372" s="11" t="s">
        <v>9</v>
      </c>
      <c r="C372" s="11">
        <v>22700524</v>
      </c>
      <c r="D372" s="11" t="s">
        <v>235</v>
      </c>
      <c r="E372" s="11" t="s">
        <v>86</v>
      </c>
      <c r="F372" s="11">
        <v>239.36</v>
      </c>
      <c r="G372" s="11">
        <v>526125083</v>
      </c>
      <c r="H372" s="11">
        <v>3</v>
      </c>
      <c r="I372" s="11">
        <f>SalesData[[#This Row],[Price]]*SalesData[[#This Row],[Quantity]]</f>
        <v>718.08</v>
      </c>
      <c r="J372" s="11" t="str">
        <f t="shared" si="5"/>
        <v>Low</v>
      </c>
      <c r="K372" s="21" t="s">
        <v>235</v>
      </c>
    </row>
    <row r="373" spans="1:11">
      <c r="A373" s="10">
        <v>43773</v>
      </c>
      <c r="B373" s="11" t="s">
        <v>9</v>
      </c>
      <c r="C373" s="11">
        <v>27201013</v>
      </c>
      <c r="D373" s="11" t="s">
        <v>235</v>
      </c>
      <c r="E373" s="11" t="s">
        <v>61</v>
      </c>
      <c r="F373" s="11">
        <v>234.5</v>
      </c>
      <c r="G373" s="11">
        <v>522717744</v>
      </c>
      <c r="H373" s="11">
        <v>3</v>
      </c>
      <c r="I373" s="11">
        <f>SalesData[[#This Row],[Price]]*SalesData[[#This Row],[Quantity]]</f>
        <v>703.5</v>
      </c>
      <c r="J373" s="11" t="str">
        <f t="shared" si="5"/>
        <v>Low</v>
      </c>
      <c r="K373" s="21" t="s">
        <v>235</v>
      </c>
    </row>
    <row r="374" spans="1:11">
      <c r="A374" s="10">
        <v>43772</v>
      </c>
      <c r="B374" s="11" t="s">
        <v>9</v>
      </c>
      <c r="C374" s="11">
        <v>1801940</v>
      </c>
      <c r="D374" s="11" t="s">
        <v>15</v>
      </c>
      <c r="E374" s="11" t="s">
        <v>78</v>
      </c>
      <c r="F374" s="11">
        <v>231.64</v>
      </c>
      <c r="G374" s="11">
        <v>566294210</v>
      </c>
      <c r="H374" s="11">
        <v>4</v>
      </c>
      <c r="I374" s="11">
        <f>SalesData[[#This Row],[Price]]*SalesData[[#This Row],[Quantity]]</f>
        <v>926.56</v>
      </c>
      <c r="J374" s="11" t="str">
        <f t="shared" si="5"/>
        <v>Low</v>
      </c>
      <c r="K374" s="21" t="s">
        <v>290</v>
      </c>
    </row>
    <row r="375" spans="1:11">
      <c r="A375" s="10">
        <v>43774</v>
      </c>
      <c r="B375" s="11" t="s">
        <v>9</v>
      </c>
      <c r="C375" s="11">
        <v>2600400</v>
      </c>
      <c r="D375" s="11" t="s">
        <v>235</v>
      </c>
      <c r="E375" s="11" t="s">
        <v>235</v>
      </c>
      <c r="F375" s="11">
        <v>231.64</v>
      </c>
      <c r="G375" s="11">
        <v>512870255</v>
      </c>
      <c r="H375" s="11">
        <v>5</v>
      </c>
      <c r="I375" s="11">
        <f>SalesData[[#This Row],[Price]]*SalesData[[#This Row],[Quantity]]</f>
        <v>1158.1999999999998</v>
      </c>
      <c r="J375" s="11" t="str">
        <f t="shared" si="5"/>
        <v>Low</v>
      </c>
      <c r="K375" s="21" t="s">
        <v>235</v>
      </c>
    </row>
    <row r="376" spans="1:11">
      <c r="A376" s="10">
        <v>43783</v>
      </c>
      <c r="B376" s="11" t="s">
        <v>9</v>
      </c>
      <c r="C376" s="11">
        <v>13200020</v>
      </c>
      <c r="D376" s="11" t="s">
        <v>10</v>
      </c>
      <c r="E376" s="11" t="s">
        <v>235</v>
      </c>
      <c r="F376" s="11">
        <v>231.64</v>
      </c>
      <c r="G376" s="11">
        <v>514892168</v>
      </c>
      <c r="H376" s="11">
        <v>5</v>
      </c>
      <c r="I376" s="11">
        <f>SalesData[[#This Row],[Price]]*SalesData[[#This Row],[Quantity]]</f>
        <v>1158.1999999999998</v>
      </c>
      <c r="J376" s="11" t="str">
        <f t="shared" si="5"/>
        <v>Low</v>
      </c>
      <c r="K376" s="21" t="s">
        <v>293</v>
      </c>
    </row>
    <row r="377" spans="1:11">
      <c r="A377" s="10">
        <v>43778</v>
      </c>
      <c r="B377" s="11" t="s">
        <v>9</v>
      </c>
      <c r="C377" s="11">
        <v>1005236</v>
      </c>
      <c r="D377" s="11" t="s">
        <v>11</v>
      </c>
      <c r="E377" s="11" t="s">
        <v>47</v>
      </c>
      <c r="F377" s="11">
        <v>231.64</v>
      </c>
      <c r="G377" s="11">
        <v>540353452</v>
      </c>
      <c r="H377" s="11">
        <v>4</v>
      </c>
      <c r="I377" s="11">
        <f>SalesData[[#This Row],[Price]]*SalesData[[#This Row],[Quantity]]</f>
        <v>926.56</v>
      </c>
      <c r="J377" s="11" t="str">
        <f t="shared" si="5"/>
        <v>Low</v>
      </c>
      <c r="K377" s="21" t="s">
        <v>290</v>
      </c>
    </row>
    <row r="378" spans="1:11">
      <c r="A378" s="10">
        <v>43774</v>
      </c>
      <c r="B378" s="11" t="s">
        <v>9</v>
      </c>
      <c r="C378" s="11">
        <v>2800424</v>
      </c>
      <c r="D378" s="11" t="s">
        <v>100</v>
      </c>
      <c r="E378" s="11" t="s">
        <v>78</v>
      </c>
      <c r="F378" s="11">
        <v>231.64</v>
      </c>
      <c r="G378" s="11">
        <v>548717296</v>
      </c>
      <c r="H378" s="11">
        <v>2</v>
      </c>
      <c r="I378" s="11">
        <f>SalesData[[#This Row],[Price]]*SalesData[[#This Row],[Quantity]]</f>
        <v>463.28</v>
      </c>
      <c r="J378" s="11" t="str">
        <f t="shared" si="5"/>
        <v>Low</v>
      </c>
      <c r="K378" s="21" t="s">
        <v>292</v>
      </c>
    </row>
    <row r="379" spans="1:11">
      <c r="A379" s="10">
        <v>43782</v>
      </c>
      <c r="B379" s="11" t="s">
        <v>9</v>
      </c>
      <c r="C379" s="11">
        <v>1005003</v>
      </c>
      <c r="D379" s="11" t="s">
        <v>11</v>
      </c>
      <c r="E379" s="11" t="s">
        <v>60</v>
      </c>
      <c r="F379" s="11">
        <v>230.93</v>
      </c>
      <c r="G379" s="11">
        <v>553745133</v>
      </c>
      <c r="H379" s="11">
        <v>1</v>
      </c>
      <c r="I379" s="11">
        <f>SalesData[[#This Row],[Price]]*SalesData[[#This Row],[Quantity]]</f>
        <v>230.93</v>
      </c>
      <c r="J379" s="11" t="str">
        <f t="shared" si="5"/>
        <v>Low</v>
      </c>
      <c r="K379" s="21" t="s">
        <v>290</v>
      </c>
    </row>
    <row r="380" spans="1:11">
      <c r="A380" s="10">
        <v>43783</v>
      </c>
      <c r="B380" s="11" t="s">
        <v>9</v>
      </c>
      <c r="C380" s="11">
        <v>1005003</v>
      </c>
      <c r="D380" s="11" t="s">
        <v>11</v>
      </c>
      <c r="E380" s="11" t="s">
        <v>60</v>
      </c>
      <c r="F380" s="11">
        <v>230.93</v>
      </c>
      <c r="G380" s="11">
        <v>514862645</v>
      </c>
      <c r="H380" s="11">
        <v>1</v>
      </c>
      <c r="I380" s="11">
        <f>SalesData[[#This Row],[Price]]*SalesData[[#This Row],[Quantity]]</f>
        <v>230.93</v>
      </c>
      <c r="J380" s="11" t="str">
        <f t="shared" si="5"/>
        <v>Low</v>
      </c>
      <c r="K380" s="21" t="s">
        <v>290</v>
      </c>
    </row>
    <row r="381" spans="1:11">
      <c r="A381" s="10">
        <v>43779</v>
      </c>
      <c r="B381" s="11" t="s">
        <v>9</v>
      </c>
      <c r="C381" s="11">
        <v>1005003</v>
      </c>
      <c r="D381" s="11" t="s">
        <v>11</v>
      </c>
      <c r="E381" s="11" t="s">
        <v>60</v>
      </c>
      <c r="F381" s="11">
        <v>230.93</v>
      </c>
      <c r="G381" s="11">
        <v>565747343</v>
      </c>
      <c r="H381" s="11">
        <v>2</v>
      </c>
      <c r="I381" s="11">
        <f>SalesData[[#This Row],[Price]]*SalesData[[#This Row],[Quantity]]</f>
        <v>461.86</v>
      </c>
      <c r="J381" s="11" t="str">
        <f t="shared" si="5"/>
        <v>Low</v>
      </c>
      <c r="K381" s="21" t="s">
        <v>290</v>
      </c>
    </row>
    <row r="382" spans="1:11">
      <c r="A382" s="10">
        <v>43778</v>
      </c>
      <c r="B382" s="11" t="s">
        <v>9</v>
      </c>
      <c r="C382" s="11">
        <v>1005003</v>
      </c>
      <c r="D382" s="11" t="s">
        <v>11</v>
      </c>
      <c r="E382" s="11" t="s">
        <v>60</v>
      </c>
      <c r="F382" s="11">
        <v>230.93</v>
      </c>
      <c r="G382" s="11">
        <v>516883277</v>
      </c>
      <c r="H382" s="11">
        <v>5</v>
      </c>
      <c r="I382" s="11">
        <f>SalesData[[#This Row],[Price]]*SalesData[[#This Row],[Quantity]]</f>
        <v>1154.6500000000001</v>
      </c>
      <c r="J382" s="11" t="str">
        <f t="shared" si="5"/>
        <v>Low</v>
      </c>
      <c r="K382" s="21" t="s">
        <v>290</v>
      </c>
    </row>
    <row r="383" spans="1:11">
      <c r="A383" s="10">
        <v>43772</v>
      </c>
      <c r="B383" s="11" t="s">
        <v>9</v>
      </c>
      <c r="C383" s="11">
        <v>1005003</v>
      </c>
      <c r="D383" s="11" t="s">
        <v>11</v>
      </c>
      <c r="E383" s="11" t="s">
        <v>60</v>
      </c>
      <c r="F383" s="11">
        <v>230.93</v>
      </c>
      <c r="G383" s="11">
        <v>538669191</v>
      </c>
      <c r="H383" s="11">
        <v>5</v>
      </c>
      <c r="I383" s="11">
        <f>SalesData[[#This Row],[Price]]*SalesData[[#This Row],[Quantity]]</f>
        <v>1154.6500000000001</v>
      </c>
      <c r="J383" s="11" t="str">
        <f t="shared" si="5"/>
        <v>Low</v>
      </c>
      <c r="K383" s="21" t="s">
        <v>290</v>
      </c>
    </row>
    <row r="384" spans="1:11">
      <c r="A384" s="10">
        <v>43784</v>
      </c>
      <c r="B384" s="11" t="s">
        <v>9</v>
      </c>
      <c r="C384" s="11">
        <v>1004768</v>
      </c>
      <c r="D384" s="11" t="s">
        <v>11</v>
      </c>
      <c r="E384" s="11" t="s">
        <v>13</v>
      </c>
      <c r="F384" s="11">
        <v>242.72</v>
      </c>
      <c r="G384" s="11">
        <v>516358282</v>
      </c>
      <c r="H384" s="11">
        <v>2</v>
      </c>
      <c r="I384" s="11">
        <f>SalesData[[#This Row],[Price]]*SalesData[[#This Row],[Quantity]]</f>
        <v>485.44</v>
      </c>
      <c r="J384" s="11" t="str">
        <f t="shared" si="5"/>
        <v>Low</v>
      </c>
      <c r="K384" s="21" t="s">
        <v>290</v>
      </c>
    </row>
    <row r="385" spans="1:11">
      <c r="A385" s="10">
        <v>43772</v>
      </c>
      <c r="B385" s="11" t="s">
        <v>9</v>
      </c>
      <c r="C385" s="11">
        <v>1004767</v>
      </c>
      <c r="D385" s="11" t="s">
        <v>11</v>
      </c>
      <c r="E385" s="11" t="s">
        <v>13</v>
      </c>
      <c r="F385" s="11">
        <v>242.63</v>
      </c>
      <c r="G385" s="11">
        <v>549987439</v>
      </c>
      <c r="H385" s="11">
        <v>5</v>
      </c>
      <c r="I385" s="11">
        <f>SalesData[[#This Row],[Price]]*SalesData[[#This Row],[Quantity]]</f>
        <v>1213.1500000000001</v>
      </c>
      <c r="J385" s="11" t="str">
        <f t="shared" si="5"/>
        <v>Low</v>
      </c>
      <c r="K385" s="21" t="s">
        <v>290</v>
      </c>
    </row>
    <row r="386" spans="1:11">
      <c r="A386" s="10">
        <v>43784</v>
      </c>
      <c r="B386" s="11" t="s">
        <v>9</v>
      </c>
      <c r="C386" s="11">
        <v>1004767</v>
      </c>
      <c r="D386" s="11" t="s">
        <v>11</v>
      </c>
      <c r="E386" s="11" t="s">
        <v>13</v>
      </c>
      <c r="F386" s="11">
        <v>242.63</v>
      </c>
      <c r="G386" s="11">
        <v>566292411</v>
      </c>
      <c r="H386" s="11">
        <v>2</v>
      </c>
      <c r="I386" s="11">
        <f>SalesData[[#This Row],[Price]]*SalesData[[#This Row],[Quantity]]</f>
        <v>485.26</v>
      </c>
      <c r="J386" s="11" t="str">
        <f t="shared" ref="J386:J449" si="6">IF(F386&lt;500, "Low", IF(F386&lt;1500, "Medium", "High"))</f>
        <v>Low</v>
      </c>
      <c r="K386" s="21" t="s">
        <v>290</v>
      </c>
    </row>
    <row r="387" spans="1:11">
      <c r="A387" s="10">
        <v>43773</v>
      </c>
      <c r="B387" s="11" t="s">
        <v>9</v>
      </c>
      <c r="C387" s="11">
        <v>1004767</v>
      </c>
      <c r="D387" s="11" t="s">
        <v>11</v>
      </c>
      <c r="E387" s="11" t="s">
        <v>13</v>
      </c>
      <c r="F387" s="11">
        <v>242.63</v>
      </c>
      <c r="G387" s="11">
        <v>561901574</v>
      </c>
      <c r="H387" s="11">
        <v>1</v>
      </c>
      <c r="I387" s="11">
        <f>SalesData[[#This Row],[Price]]*SalesData[[#This Row],[Quantity]]</f>
        <v>242.63</v>
      </c>
      <c r="J387" s="11" t="str">
        <f t="shared" si="6"/>
        <v>Low</v>
      </c>
      <c r="K387" s="21" t="s">
        <v>290</v>
      </c>
    </row>
    <row r="388" spans="1:11">
      <c r="A388" s="10">
        <v>43773</v>
      </c>
      <c r="B388" s="11" t="s">
        <v>9</v>
      </c>
      <c r="C388" s="11">
        <v>1004767</v>
      </c>
      <c r="D388" s="11" t="s">
        <v>11</v>
      </c>
      <c r="E388" s="11" t="s">
        <v>13</v>
      </c>
      <c r="F388" s="11">
        <v>242.63</v>
      </c>
      <c r="G388" s="11">
        <v>522352077</v>
      </c>
      <c r="H388" s="11">
        <v>5</v>
      </c>
      <c r="I388" s="11">
        <f>SalesData[[#This Row],[Price]]*SalesData[[#This Row],[Quantity]]</f>
        <v>1213.1500000000001</v>
      </c>
      <c r="J388" s="11" t="str">
        <f t="shared" si="6"/>
        <v>Low</v>
      </c>
      <c r="K388" s="21" t="s">
        <v>290</v>
      </c>
    </row>
    <row r="389" spans="1:11">
      <c r="A389" s="10">
        <v>43782</v>
      </c>
      <c r="B389" s="11" t="s">
        <v>9</v>
      </c>
      <c r="C389" s="11">
        <v>1004767</v>
      </c>
      <c r="D389" s="11" t="s">
        <v>11</v>
      </c>
      <c r="E389" s="11" t="s">
        <v>13</v>
      </c>
      <c r="F389" s="11">
        <v>242.63</v>
      </c>
      <c r="G389" s="11">
        <v>560929837</v>
      </c>
      <c r="H389" s="11">
        <v>5</v>
      </c>
      <c r="I389" s="11">
        <f>SalesData[[#This Row],[Price]]*SalesData[[#This Row],[Quantity]]</f>
        <v>1213.1500000000001</v>
      </c>
      <c r="J389" s="11" t="str">
        <f t="shared" si="6"/>
        <v>Low</v>
      </c>
      <c r="K389" s="21" t="s">
        <v>290</v>
      </c>
    </row>
    <row r="390" spans="1:11">
      <c r="A390" s="10">
        <v>43783</v>
      </c>
      <c r="B390" s="11" t="s">
        <v>9</v>
      </c>
      <c r="C390" s="11">
        <v>1004767</v>
      </c>
      <c r="D390" s="11" t="s">
        <v>11</v>
      </c>
      <c r="E390" s="11" t="s">
        <v>13</v>
      </c>
      <c r="F390" s="11">
        <v>242.63</v>
      </c>
      <c r="G390" s="11">
        <v>520240010</v>
      </c>
      <c r="H390" s="11">
        <v>4</v>
      </c>
      <c r="I390" s="11">
        <f>SalesData[[#This Row],[Price]]*SalesData[[#This Row],[Quantity]]</f>
        <v>970.52</v>
      </c>
      <c r="J390" s="11" t="str">
        <f t="shared" si="6"/>
        <v>Low</v>
      </c>
      <c r="K390" s="21" t="s">
        <v>290</v>
      </c>
    </row>
    <row r="391" spans="1:11">
      <c r="A391" s="10">
        <v>43770</v>
      </c>
      <c r="B391" s="11" t="s">
        <v>9</v>
      </c>
      <c r="C391" s="11">
        <v>1004767</v>
      </c>
      <c r="D391" s="11" t="s">
        <v>11</v>
      </c>
      <c r="E391" s="11" t="s">
        <v>13</v>
      </c>
      <c r="F391" s="11">
        <v>242.63</v>
      </c>
      <c r="G391" s="11">
        <v>512527352</v>
      </c>
      <c r="H391" s="11">
        <v>4</v>
      </c>
      <c r="I391" s="11">
        <f>SalesData[[#This Row],[Price]]*SalesData[[#This Row],[Quantity]]</f>
        <v>970.52</v>
      </c>
      <c r="J391" s="11" t="str">
        <f t="shared" si="6"/>
        <v>Low</v>
      </c>
      <c r="K391" s="21" t="s">
        <v>290</v>
      </c>
    </row>
    <row r="392" spans="1:11">
      <c r="A392" s="10">
        <v>43774</v>
      </c>
      <c r="B392" s="11" t="s">
        <v>9</v>
      </c>
      <c r="C392" s="11">
        <v>1004767</v>
      </c>
      <c r="D392" s="11" t="s">
        <v>11</v>
      </c>
      <c r="E392" s="11" t="s">
        <v>13</v>
      </c>
      <c r="F392" s="11">
        <v>242.63</v>
      </c>
      <c r="G392" s="11">
        <v>555471943</v>
      </c>
      <c r="H392" s="11">
        <v>3</v>
      </c>
      <c r="I392" s="11">
        <f>SalesData[[#This Row],[Price]]*SalesData[[#This Row],[Quantity]]</f>
        <v>727.89</v>
      </c>
      <c r="J392" s="11" t="str">
        <f t="shared" si="6"/>
        <v>Low</v>
      </c>
      <c r="K392" s="21" t="s">
        <v>290</v>
      </c>
    </row>
    <row r="393" spans="1:11">
      <c r="A393" s="10">
        <v>43782</v>
      </c>
      <c r="B393" s="11" t="s">
        <v>9</v>
      </c>
      <c r="C393" s="11">
        <v>1004767</v>
      </c>
      <c r="D393" s="11" t="s">
        <v>11</v>
      </c>
      <c r="E393" s="11" t="s">
        <v>13</v>
      </c>
      <c r="F393" s="11">
        <v>242.63</v>
      </c>
      <c r="G393" s="11">
        <v>515550869</v>
      </c>
      <c r="H393" s="11">
        <v>3</v>
      </c>
      <c r="I393" s="11">
        <f>SalesData[[#This Row],[Price]]*SalesData[[#This Row],[Quantity]]</f>
        <v>727.89</v>
      </c>
      <c r="J393" s="11" t="str">
        <f t="shared" si="6"/>
        <v>Low</v>
      </c>
      <c r="K393" s="21" t="s">
        <v>290</v>
      </c>
    </row>
    <row r="394" spans="1:11">
      <c r="A394" s="10">
        <v>43783</v>
      </c>
      <c r="B394" s="11" t="s">
        <v>9</v>
      </c>
      <c r="C394" s="11">
        <v>1801805</v>
      </c>
      <c r="D394" s="11" t="s">
        <v>15</v>
      </c>
      <c r="E394" s="11" t="s">
        <v>91</v>
      </c>
      <c r="F394" s="11">
        <v>228.76</v>
      </c>
      <c r="G394" s="11">
        <v>512382878</v>
      </c>
      <c r="H394" s="11">
        <v>1</v>
      </c>
      <c r="I394" s="11">
        <f>SalesData[[#This Row],[Price]]*SalesData[[#This Row],[Quantity]]</f>
        <v>228.76</v>
      </c>
      <c r="J394" s="11" t="str">
        <f t="shared" si="6"/>
        <v>Low</v>
      </c>
      <c r="K394" s="21" t="s">
        <v>290</v>
      </c>
    </row>
    <row r="395" spans="1:11">
      <c r="A395" s="10">
        <v>43772</v>
      </c>
      <c r="B395" s="11" t="s">
        <v>9</v>
      </c>
      <c r="C395" s="11">
        <v>2701737</v>
      </c>
      <c r="D395" s="11" t="s">
        <v>100</v>
      </c>
      <c r="E395" s="11" t="s">
        <v>235</v>
      </c>
      <c r="F395" s="11">
        <v>228.47</v>
      </c>
      <c r="G395" s="11">
        <v>548717296</v>
      </c>
      <c r="H395" s="11">
        <v>2</v>
      </c>
      <c r="I395" s="11">
        <f>SalesData[[#This Row],[Price]]*SalesData[[#This Row],[Quantity]]</f>
        <v>456.94</v>
      </c>
      <c r="J395" s="11" t="str">
        <f t="shared" si="6"/>
        <v>Low</v>
      </c>
      <c r="K395" s="21" t="s">
        <v>292</v>
      </c>
    </row>
    <row r="396" spans="1:11">
      <c r="A396" s="10">
        <v>43783</v>
      </c>
      <c r="B396" s="11" t="s">
        <v>9</v>
      </c>
      <c r="C396" s="11">
        <v>1701474</v>
      </c>
      <c r="D396" s="11" t="s">
        <v>93</v>
      </c>
      <c r="E396" s="11" t="s">
        <v>94</v>
      </c>
      <c r="F396" s="11">
        <v>227.03</v>
      </c>
      <c r="G396" s="11">
        <v>515936079</v>
      </c>
      <c r="H396" s="11">
        <v>5</v>
      </c>
      <c r="I396" s="11">
        <f>SalesData[[#This Row],[Price]]*SalesData[[#This Row],[Quantity]]</f>
        <v>1135.1500000000001</v>
      </c>
      <c r="J396" s="11" t="str">
        <f t="shared" si="6"/>
        <v>Low</v>
      </c>
      <c r="K396" s="21" t="s">
        <v>291</v>
      </c>
    </row>
    <row r="397" spans="1:11">
      <c r="A397" s="10">
        <v>43774</v>
      </c>
      <c r="B397" s="11" t="s">
        <v>9</v>
      </c>
      <c r="C397" s="11">
        <v>3700837</v>
      </c>
      <c r="D397" s="11" t="s">
        <v>57</v>
      </c>
      <c r="E397" s="11" t="s">
        <v>80</v>
      </c>
      <c r="F397" s="11">
        <v>225.83</v>
      </c>
      <c r="G397" s="11">
        <v>535080594</v>
      </c>
      <c r="H397" s="11">
        <v>1</v>
      </c>
      <c r="I397" s="11">
        <f>SalesData[[#This Row],[Price]]*SalesData[[#This Row],[Quantity]]</f>
        <v>225.83</v>
      </c>
      <c r="J397" s="11" t="str">
        <f t="shared" si="6"/>
        <v>Low</v>
      </c>
      <c r="K397" s="21" t="s">
        <v>292</v>
      </c>
    </row>
    <row r="398" spans="1:11">
      <c r="A398" s="10">
        <v>43781</v>
      </c>
      <c r="B398" s="11" t="s">
        <v>9</v>
      </c>
      <c r="C398" s="11">
        <v>6701013</v>
      </c>
      <c r="D398" s="11" t="s">
        <v>74</v>
      </c>
      <c r="E398" s="11" t="s">
        <v>75</v>
      </c>
      <c r="F398" s="11">
        <v>224.6</v>
      </c>
      <c r="G398" s="11">
        <v>513657489</v>
      </c>
      <c r="H398" s="11">
        <v>1</v>
      </c>
      <c r="I398" s="11">
        <f>SalesData[[#This Row],[Price]]*SalesData[[#This Row],[Quantity]]</f>
        <v>224.6</v>
      </c>
      <c r="J398" s="11" t="str">
        <f t="shared" si="6"/>
        <v>Low</v>
      </c>
      <c r="K398" s="21" t="s">
        <v>291</v>
      </c>
    </row>
    <row r="399" spans="1:11">
      <c r="A399" s="10">
        <v>43775</v>
      </c>
      <c r="B399" s="11" t="s">
        <v>9</v>
      </c>
      <c r="C399" s="11">
        <v>1004767</v>
      </c>
      <c r="D399" s="11" t="s">
        <v>11</v>
      </c>
      <c r="E399" s="11" t="s">
        <v>13</v>
      </c>
      <c r="F399" s="11">
        <v>242.63</v>
      </c>
      <c r="G399" s="11">
        <v>558997994</v>
      </c>
      <c r="H399" s="11">
        <v>3</v>
      </c>
      <c r="I399" s="11">
        <f>SalesData[[#This Row],[Price]]*SalesData[[#This Row],[Quantity]]</f>
        <v>727.89</v>
      </c>
      <c r="J399" s="11" t="str">
        <f t="shared" si="6"/>
        <v>Low</v>
      </c>
      <c r="K399" s="21" t="s">
        <v>290</v>
      </c>
    </row>
    <row r="400" spans="1:11">
      <c r="A400" s="10">
        <v>43783</v>
      </c>
      <c r="B400" s="11" t="s">
        <v>9</v>
      </c>
      <c r="C400" s="11">
        <v>1004767</v>
      </c>
      <c r="D400" s="11" t="s">
        <v>11</v>
      </c>
      <c r="E400" s="11" t="s">
        <v>13</v>
      </c>
      <c r="F400" s="11">
        <v>242.63</v>
      </c>
      <c r="G400" s="11">
        <v>538440830</v>
      </c>
      <c r="H400" s="11">
        <v>4</v>
      </c>
      <c r="I400" s="11">
        <f>SalesData[[#This Row],[Price]]*SalesData[[#This Row],[Quantity]]</f>
        <v>970.52</v>
      </c>
      <c r="J400" s="11" t="str">
        <f t="shared" si="6"/>
        <v>Low</v>
      </c>
      <c r="K400" s="21" t="s">
        <v>290</v>
      </c>
    </row>
    <row r="401" spans="1:11">
      <c r="A401" s="10">
        <v>43778</v>
      </c>
      <c r="B401" s="11" t="s">
        <v>9</v>
      </c>
      <c r="C401" s="11">
        <v>1004767</v>
      </c>
      <c r="D401" s="11" t="s">
        <v>11</v>
      </c>
      <c r="E401" s="11" t="s">
        <v>13</v>
      </c>
      <c r="F401" s="11">
        <v>242.63</v>
      </c>
      <c r="G401" s="11">
        <v>560721751</v>
      </c>
      <c r="H401" s="11">
        <v>2</v>
      </c>
      <c r="I401" s="11">
        <f>SalesData[[#This Row],[Price]]*SalesData[[#This Row],[Quantity]]</f>
        <v>485.26</v>
      </c>
      <c r="J401" s="11" t="str">
        <f t="shared" si="6"/>
        <v>Low</v>
      </c>
      <c r="K401" s="21" t="s">
        <v>290</v>
      </c>
    </row>
    <row r="402" spans="1:11">
      <c r="A402" s="10">
        <v>43779</v>
      </c>
      <c r="B402" s="11" t="s">
        <v>9</v>
      </c>
      <c r="C402" s="11">
        <v>1004767</v>
      </c>
      <c r="D402" s="11" t="s">
        <v>11</v>
      </c>
      <c r="E402" s="11" t="s">
        <v>13</v>
      </c>
      <c r="F402" s="11">
        <v>242.63</v>
      </c>
      <c r="G402" s="11">
        <v>558712090</v>
      </c>
      <c r="H402" s="11">
        <v>2</v>
      </c>
      <c r="I402" s="11">
        <f>SalesData[[#This Row],[Price]]*SalesData[[#This Row],[Quantity]]</f>
        <v>485.26</v>
      </c>
      <c r="J402" s="11" t="str">
        <f t="shared" si="6"/>
        <v>Low</v>
      </c>
      <c r="K402" s="21" t="s">
        <v>290</v>
      </c>
    </row>
    <row r="403" spans="1:11">
      <c r="A403" s="10">
        <v>43782</v>
      </c>
      <c r="B403" s="11" t="s">
        <v>9</v>
      </c>
      <c r="C403" s="11">
        <v>1004767</v>
      </c>
      <c r="D403" s="11" t="s">
        <v>11</v>
      </c>
      <c r="E403" s="11" t="s">
        <v>13</v>
      </c>
      <c r="F403" s="11">
        <v>242.63</v>
      </c>
      <c r="G403" s="11">
        <v>514796908</v>
      </c>
      <c r="H403" s="11">
        <v>1</v>
      </c>
      <c r="I403" s="11">
        <f>SalesData[[#This Row],[Price]]*SalesData[[#This Row],[Quantity]]</f>
        <v>242.63</v>
      </c>
      <c r="J403" s="11" t="str">
        <f t="shared" si="6"/>
        <v>Low</v>
      </c>
      <c r="K403" s="21" t="s">
        <v>290</v>
      </c>
    </row>
    <row r="404" spans="1:11">
      <c r="A404" s="10">
        <v>43782</v>
      </c>
      <c r="B404" s="11" t="s">
        <v>9</v>
      </c>
      <c r="C404" s="11">
        <v>1005223</v>
      </c>
      <c r="D404" s="11" t="s">
        <v>11</v>
      </c>
      <c r="E404" s="11" t="s">
        <v>12</v>
      </c>
      <c r="F404" s="11">
        <v>223.17</v>
      </c>
      <c r="G404" s="11">
        <v>556989069</v>
      </c>
      <c r="H404" s="11">
        <v>2</v>
      </c>
      <c r="I404" s="11">
        <f>SalesData[[#This Row],[Price]]*SalesData[[#This Row],[Quantity]]</f>
        <v>446.34</v>
      </c>
      <c r="J404" s="11" t="str">
        <f t="shared" si="6"/>
        <v>Low</v>
      </c>
      <c r="K404" s="21" t="s">
        <v>290</v>
      </c>
    </row>
    <row r="405" spans="1:11">
      <c r="A405" s="10">
        <v>43778</v>
      </c>
      <c r="B405" s="11" t="s">
        <v>9</v>
      </c>
      <c r="C405" s="11">
        <v>3700790</v>
      </c>
      <c r="D405" s="11" t="s">
        <v>57</v>
      </c>
      <c r="E405" s="11" t="s">
        <v>38</v>
      </c>
      <c r="F405" s="11">
        <v>218.77</v>
      </c>
      <c r="G405" s="11">
        <v>512522408</v>
      </c>
      <c r="H405" s="11">
        <v>5</v>
      </c>
      <c r="I405" s="11">
        <f>SalesData[[#This Row],[Price]]*SalesData[[#This Row],[Quantity]]</f>
        <v>1093.8500000000001</v>
      </c>
      <c r="J405" s="11" t="str">
        <f t="shared" si="6"/>
        <v>Low</v>
      </c>
      <c r="K405" s="21" t="s">
        <v>292</v>
      </c>
    </row>
    <row r="406" spans="1:11">
      <c r="A406" s="10">
        <v>43773</v>
      </c>
      <c r="B406" s="11" t="s">
        <v>9</v>
      </c>
      <c r="C406" s="11">
        <v>3700790</v>
      </c>
      <c r="D406" s="11" t="s">
        <v>57</v>
      </c>
      <c r="E406" s="11" t="s">
        <v>38</v>
      </c>
      <c r="F406" s="11">
        <v>218.77</v>
      </c>
      <c r="G406" s="11">
        <v>566298726</v>
      </c>
      <c r="H406" s="11">
        <v>5</v>
      </c>
      <c r="I406" s="11">
        <f>SalesData[[#This Row],[Price]]*SalesData[[#This Row],[Quantity]]</f>
        <v>1093.8500000000001</v>
      </c>
      <c r="J406" s="11" t="str">
        <f t="shared" si="6"/>
        <v>Low</v>
      </c>
      <c r="K406" s="21" t="s">
        <v>292</v>
      </c>
    </row>
    <row r="407" spans="1:11">
      <c r="A407" s="10">
        <v>43782</v>
      </c>
      <c r="B407" s="11" t="s">
        <v>9</v>
      </c>
      <c r="C407" s="11">
        <v>3601508</v>
      </c>
      <c r="D407" s="11" t="s">
        <v>81</v>
      </c>
      <c r="E407" s="11" t="s">
        <v>29</v>
      </c>
      <c r="F407" s="11">
        <v>218.77</v>
      </c>
      <c r="G407" s="11">
        <v>514991459</v>
      </c>
      <c r="H407" s="11">
        <v>5</v>
      </c>
      <c r="I407" s="11">
        <f>SalesData[[#This Row],[Price]]*SalesData[[#This Row],[Quantity]]</f>
        <v>1093.8500000000001</v>
      </c>
      <c r="J407" s="11" t="str">
        <f t="shared" si="6"/>
        <v>Low</v>
      </c>
      <c r="K407" s="21" t="s">
        <v>292</v>
      </c>
    </row>
    <row r="408" spans="1:11">
      <c r="A408" s="10">
        <v>43779</v>
      </c>
      <c r="B408" s="11" t="s">
        <v>9</v>
      </c>
      <c r="C408" s="11">
        <v>1004794</v>
      </c>
      <c r="D408" s="11" t="s">
        <v>11</v>
      </c>
      <c r="E408" s="11" t="s">
        <v>12</v>
      </c>
      <c r="F408" s="11">
        <v>218.54</v>
      </c>
      <c r="G408" s="11">
        <v>530131574</v>
      </c>
      <c r="H408" s="11">
        <v>2</v>
      </c>
      <c r="I408" s="11">
        <f>SalesData[[#This Row],[Price]]*SalesData[[#This Row],[Quantity]]</f>
        <v>437.08</v>
      </c>
      <c r="J408" s="11" t="str">
        <f t="shared" si="6"/>
        <v>Low</v>
      </c>
      <c r="K408" s="21" t="s">
        <v>290</v>
      </c>
    </row>
    <row r="409" spans="1:11">
      <c r="A409" s="10">
        <v>43781</v>
      </c>
      <c r="B409" s="11" t="s">
        <v>9</v>
      </c>
      <c r="C409" s="11">
        <v>12718469</v>
      </c>
      <c r="D409" s="11" t="s">
        <v>235</v>
      </c>
      <c r="E409" s="11" t="s">
        <v>108</v>
      </c>
      <c r="F409" s="11">
        <v>215.19</v>
      </c>
      <c r="G409" s="11">
        <v>527277579</v>
      </c>
      <c r="H409" s="11">
        <v>3</v>
      </c>
      <c r="I409" s="11">
        <f>SalesData[[#This Row],[Price]]*SalesData[[#This Row],[Quantity]]</f>
        <v>645.56999999999994</v>
      </c>
      <c r="J409" s="11" t="str">
        <f t="shared" si="6"/>
        <v>Low</v>
      </c>
      <c r="K409" s="21" t="s">
        <v>235</v>
      </c>
    </row>
    <row r="410" spans="1:11">
      <c r="A410" s="10">
        <v>43782</v>
      </c>
      <c r="B410" s="11" t="s">
        <v>9</v>
      </c>
      <c r="C410" s="11">
        <v>18700068</v>
      </c>
      <c r="D410" s="11" t="s">
        <v>235</v>
      </c>
      <c r="E410" s="11" t="s">
        <v>235</v>
      </c>
      <c r="F410" s="11">
        <v>212.33</v>
      </c>
      <c r="G410" s="11">
        <v>566174850</v>
      </c>
      <c r="H410" s="11">
        <v>3</v>
      </c>
      <c r="I410" s="11">
        <f>SalesData[[#This Row],[Price]]*SalesData[[#This Row],[Quantity]]</f>
        <v>636.99</v>
      </c>
      <c r="J410" s="11" t="str">
        <f t="shared" si="6"/>
        <v>Low</v>
      </c>
      <c r="K410" s="21" t="s">
        <v>235</v>
      </c>
    </row>
    <row r="411" spans="1:11">
      <c r="A411" s="10">
        <v>43775</v>
      </c>
      <c r="B411" s="11" t="s">
        <v>9</v>
      </c>
      <c r="C411" s="11">
        <v>1005159</v>
      </c>
      <c r="D411" s="11" t="s">
        <v>11</v>
      </c>
      <c r="E411" s="11" t="s">
        <v>12</v>
      </c>
      <c r="F411" s="11">
        <v>212.1</v>
      </c>
      <c r="G411" s="11">
        <v>545765280</v>
      </c>
      <c r="H411" s="11">
        <v>5</v>
      </c>
      <c r="I411" s="11">
        <f>SalesData[[#This Row],[Price]]*SalesData[[#This Row],[Quantity]]</f>
        <v>1060.5</v>
      </c>
      <c r="J411" s="11" t="str">
        <f t="shared" si="6"/>
        <v>Low</v>
      </c>
      <c r="K411" s="21" t="s">
        <v>290</v>
      </c>
    </row>
    <row r="412" spans="1:11">
      <c r="A412" s="10">
        <v>43778</v>
      </c>
      <c r="B412" s="11" t="s">
        <v>9</v>
      </c>
      <c r="C412" s="11">
        <v>1005160</v>
      </c>
      <c r="D412" s="11" t="s">
        <v>11</v>
      </c>
      <c r="E412" s="11" t="s">
        <v>12</v>
      </c>
      <c r="F412" s="11">
        <v>212.08</v>
      </c>
      <c r="G412" s="11">
        <v>542326339</v>
      </c>
      <c r="H412" s="11">
        <v>2</v>
      </c>
      <c r="I412" s="11">
        <f>SalesData[[#This Row],[Price]]*SalesData[[#This Row],[Quantity]]</f>
        <v>424.16</v>
      </c>
      <c r="J412" s="11" t="str">
        <f t="shared" si="6"/>
        <v>Low</v>
      </c>
      <c r="K412" s="21" t="s">
        <v>290</v>
      </c>
    </row>
    <row r="413" spans="1:11">
      <c r="A413" s="10">
        <v>43781</v>
      </c>
      <c r="B413" s="11" t="s">
        <v>9</v>
      </c>
      <c r="C413" s="11">
        <v>1005160</v>
      </c>
      <c r="D413" s="11" t="s">
        <v>11</v>
      </c>
      <c r="E413" s="11" t="s">
        <v>12</v>
      </c>
      <c r="F413" s="11">
        <v>212.08</v>
      </c>
      <c r="G413" s="11">
        <v>512823102</v>
      </c>
      <c r="H413" s="11">
        <v>4</v>
      </c>
      <c r="I413" s="11">
        <f>SalesData[[#This Row],[Price]]*SalesData[[#This Row],[Quantity]]</f>
        <v>848.32</v>
      </c>
      <c r="J413" s="11" t="str">
        <f t="shared" si="6"/>
        <v>Low</v>
      </c>
      <c r="K413" s="21" t="s">
        <v>290</v>
      </c>
    </row>
    <row r="414" spans="1:11">
      <c r="A414" s="10">
        <v>43773</v>
      </c>
      <c r="B414" s="11" t="s">
        <v>9</v>
      </c>
      <c r="C414" s="11">
        <v>1005160</v>
      </c>
      <c r="D414" s="11" t="s">
        <v>11</v>
      </c>
      <c r="E414" s="11" t="s">
        <v>12</v>
      </c>
      <c r="F414" s="11">
        <v>212.08</v>
      </c>
      <c r="G414" s="11">
        <v>516972782</v>
      </c>
      <c r="H414" s="11">
        <v>2</v>
      </c>
      <c r="I414" s="11">
        <f>SalesData[[#This Row],[Price]]*SalesData[[#This Row],[Quantity]]</f>
        <v>424.16</v>
      </c>
      <c r="J414" s="11" t="str">
        <f t="shared" si="6"/>
        <v>Low</v>
      </c>
      <c r="K414" s="21" t="s">
        <v>290</v>
      </c>
    </row>
    <row r="415" spans="1:11">
      <c r="A415" s="10">
        <v>43775</v>
      </c>
      <c r="B415" s="11" t="s">
        <v>9</v>
      </c>
      <c r="C415" s="11">
        <v>1005160</v>
      </c>
      <c r="D415" s="11" t="s">
        <v>11</v>
      </c>
      <c r="E415" s="11" t="s">
        <v>12</v>
      </c>
      <c r="F415" s="11">
        <v>212.08</v>
      </c>
      <c r="G415" s="11">
        <v>547660570</v>
      </c>
      <c r="H415" s="11">
        <v>3</v>
      </c>
      <c r="I415" s="11">
        <f>SalesData[[#This Row],[Price]]*SalesData[[#This Row],[Quantity]]</f>
        <v>636.24</v>
      </c>
      <c r="J415" s="11" t="str">
        <f t="shared" si="6"/>
        <v>Low</v>
      </c>
      <c r="K415" s="21" t="s">
        <v>290</v>
      </c>
    </row>
    <row r="416" spans="1:11">
      <c r="A416" s="10">
        <v>43775</v>
      </c>
      <c r="B416" s="11" t="s">
        <v>9</v>
      </c>
      <c r="C416" s="11">
        <v>1005160</v>
      </c>
      <c r="D416" s="11" t="s">
        <v>11</v>
      </c>
      <c r="E416" s="11" t="s">
        <v>12</v>
      </c>
      <c r="F416" s="11">
        <v>212.08</v>
      </c>
      <c r="G416" s="11">
        <v>559835903</v>
      </c>
      <c r="H416" s="11">
        <v>3</v>
      </c>
      <c r="I416" s="11">
        <f>SalesData[[#This Row],[Price]]*SalesData[[#This Row],[Quantity]]</f>
        <v>636.24</v>
      </c>
      <c r="J416" s="11" t="str">
        <f t="shared" si="6"/>
        <v>Low</v>
      </c>
      <c r="K416" s="21" t="s">
        <v>290</v>
      </c>
    </row>
    <row r="417" spans="1:11">
      <c r="A417" s="10">
        <v>43773</v>
      </c>
      <c r="B417" s="11" t="s">
        <v>9</v>
      </c>
      <c r="C417" s="11">
        <v>1005160</v>
      </c>
      <c r="D417" s="11" t="s">
        <v>11</v>
      </c>
      <c r="E417" s="11" t="s">
        <v>12</v>
      </c>
      <c r="F417" s="11">
        <v>212.08</v>
      </c>
      <c r="G417" s="11">
        <v>516035043</v>
      </c>
      <c r="H417" s="11">
        <v>1</v>
      </c>
      <c r="I417" s="11">
        <f>SalesData[[#This Row],[Price]]*SalesData[[#This Row],[Quantity]]</f>
        <v>212.08</v>
      </c>
      <c r="J417" s="11" t="str">
        <f t="shared" si="6"/>
        <v>Low</v>
      </c>
      <c r="K417" s="21" t="s">
        <v>290</v>
      </c>
    </row>
    <row r="418" spans="1:11">
      <c r="A418" s="10">
        <v>43783</v>
      </c>
      <c r="B418" s="11" t="s">
        <v>9</v>
      </c>
      <c r="C418" s="11">
        <v>1005161</v>
      </c>
      <c r="D418" s="11" t="s">
        <v>11</v>
      </c>
      <c r="E418" s="11" t="s">
        <v>12</v>
      </c>
      <c r="F418" s="11">
        <v>211.92</v>
      </c>
      <c r="G418" s="11">
        <v>513351129</v>
      </c>
      <c r="H418" s="11">
        <v>4</v>
      </c>
      <c r="I418" s="11">
        <f>SalesData[[#This Row],[Price]]*SalesData[[#This Row],[Quantity]]</f>
        <v>847.68</v>
      </c>
      <c r="J418" s="11" t="str">
        <f t="shared" si="6"/>
        <v>Low</v>
      </c>
      <c r="K418" s="21" t="s">
        <v>290</v>
      </c>
    </row>
    <row r="419" spans="1:11">
      <c r="A419" s="10">
        <v>43782</v>
      </c>
      <c r="B419" s="11" t="s">
        <v>9</v>
      </c>
      <c r="C419" s="11">
        <v>1005161</v>
      </c>
      <c r="D419" s="11" t="s">
        <v>11</v>
      </c>
      <c r="E419" s="11" t="s">
        <v>12</v>
      </c>
      <c r="F419" s="11">
        <v>211.92</v>
      </c>
      <c r="G419" s="11">
        <v>566292265</v>
      </c>
      <c r="H419" s="11">
        <v>2</v>
      </c>
      <c r="I419" s="11">
        <f>SalesData[[#This Row],[Price]]*SalesData[[#This Row],[Quantity]]</f>
        <v>423.84</v>
      </c>
      <c r="J419" s="11" t="str">
        <f t="shared" si="6"/>
        <v>Low</v>
      </c>
      <c r="K419" s="21" t="s">
        <v>290</v>
      </c>
    </row>
    <row r="420" spans="1:11">
      <c r="A420" s="10">
        <v>43774</v>
      </c>
      <c r="B420" s="11" t="s">
        <v>9</v>
      </c>
      <c r="C420" s="11">
        <v>1005161</v>
      </c>
      <c r="D420" s="11" t="s">
        <v>11</v>
      </c>
      <c r="E420" s="11" t="s">
        <v>12</v>
      </c>
      <c r="F420" s="11">
        <v>211.92</v>
      </c>
      <c r="G420" s="11">
        <v>514017120</v>
      </c>
      <c r="H420" s="11">
        <v>4</v>
      </c>
      <c r="I420" s="11">
        <f>SalesData[[#This Row],[Price]]*SalesData[[#This Row],[Quantity]]</f>
        <v>847.68</v>
      </c>
      <c r="J420" s="11" t="str">
        <f t="shared" si="6"/>
        <v>Low</v>
      </c>
      <c r="K420" s="21" t="s">
        <v>290</v>
      </c>
    </row>
    <row r="421" spans="1:11">
      <c r="A421" s="10">
        <v>43782</v>
      </c>
      <c r="B421" s="11" t="s">
        <v>9</v>
      </c>
      <c r="C421" s="11">
        <v>3601290</v>
      </c>
      <c r="D421" s="11" t="s">
        <v>81</v>
      </c>
      <c r="E421" s="11" t="s">
        <v>82</v>
      </c>
      <c r="F421" s="11">
        <v>210.79</v>
      </c>
      <c r="G421" s="11">
        <v>566300646</v>
      </c>
      <c r="H421" s="11">
        <v>1</v>
      </c>
      <c r="I421" s="11">
        <f>SalesData[[#This Row],[Price]]*SalesData[[#This Row],[Quantity]]</f>
        <v>210.79</v>
      </c>
      <c r="J421" s="11" t="str">
        <f t="shared" si="6"/>
        <v>Low</v>
      </c>
      <c r="K421" s="21" t="s">
        <v>292</v>
      </c>
    </row>
    <row r="422" spans="1:11">
      <c r="A422" s="10">
        <v>43775</v>
      </c>
      <c r="B422" s="11" t="s">
        <v>9</v>
      </c>
      <c r="C422" s="11">
        <v>26200090</v>
      </c>
      <c r="D422" s="11" t="s">
        <v>235</v>
      </c>
      <c r="E422" s="11" t="s">
        <v>235</v>
      </c>
      <c r="F422" s="11">
        <v>209.79</v>
      </c>
      <c r="G422" s="11">
        <v>566281421</v>
      </c>
      <c r="H422" s="11">
        <v>1</v>
      </c>
      <c r="I422" s="11">
        <f>SalesData[[#This Row],[Price]]*SalesData[[#This Row],[Quantity]]</f>
        <v>209.79</v>
      </c>
      <c r="J422" s="11" t="str">
        <f t="shared" si="6"/>
        <v>Low</v>
      </c>
      <c r="K422" s="21" t="s">
        <v>235</v>
      </c>
    </row>
    <row r="423" spans="1:11">
      <c r="A423" s="10">
        <v>43772</v>
      </c>
      <c r="B423" s="11" t="s">
        <v>9</v>
      </c>
      <c r="C423" s="11">
        <v>48700007</v>
      </c>
      <c r="D423" s="11" t="s">
        <v>235</v>
      </c>
      <c r="E423" s="11" t="s">
        <v>133</v>
      </c>
      <c r="F423" s="11">
        <v>206.96</v>
      </c>
      <c r="G423" s="11">
        <v>547622783</v>
      </c>
      <c r="H423" s="11">
        <v>1</v>
      </c>
      <c r="I423" s="11">
        <f>SalesData[[#This Row],[Price]]*SalesData[[#This Row],[Quantity]]</f>
        <v>206.96</v>
      </c>
      <c r="J423" s="11" t="str">
        <f t="shared" si="6"/>
        <v>Low</v>
      </c>
      <c r="K423" s="21" t="s">
        <v>235</v>
      </c>
    </row>
    <row r="424" spans="1:11">
      <c r="A424" s="10">
        <v>43783</v>
      </c>
      <c r="B424" s="11" t="s">
        <v>9</v>
      </c>
      <c r="C424" s="11">
        <v>42300027</v>
      </c>
      <c r="D424" s="11" t="s">
        <v>117</v>
      </c>
      <c r="E424" s="11" t="s">
        <v>235</v>
      </c>
      <c r="F424" s="11">
        <v>205.67</v>
      </c>
      <c r="G424" s="11">
        <v>564071991</v>
      </c>
      <c r="H424" s="11">
        <v>1</v>
      </c>
      <c r="I424" s="11">
        <f>SalesData[[#This Row],[Price]]*SalesData[[#This Row],[Quantity]]</f>
        <v>205.67</v>
      </c>
      <c r="J424" s="11" t="str">
        <f t="shared" si="6"/>
        <v>Low</v>
      </c>
      <c r="K424" s="21" t="s">
        <v>293</v>
      </c>
    </row>
    <row r="425" spans="1:11">
      <c r="A425" s="10">
        <v>43777</v>
      </c>
      <c r="B425" s="11" t="s">
        <v>9</v>
      </c>
      <c r="C425" s="11">
        <v>3600452</v>
      </c>
      <c r="D425" s="11" t="s">
        <v>81</v>
      </c>
      <c r="E425" s="11" t="s">
        <v>82</v>
      </c>
      <c r="F425" s="11">
        <v>205.67</v>
      </c>
      <c r="G425" s="11">
        <v>560099743</v>
      </c>
      <c r="H425" s="11">
        <v>1</v>
      </c>
      <c r="I425" s="11">
        <f>SalesData[[#This Row],[Price]]*SalesData[[#This Row],[Quantity]]</f>
        <v>205.67</v>
      </c>
      <c r="J425" s="11" t="str">
        <f t="shared" si="6"/>
        <v>Low</v>
      </c>
      <c r="K425" s="21" t="s">
        <v>292</v>
      </c>
    </row>
    <row r="426" spans="1:11">
      <c r="A426" s="10">
        <v>43771</v>
      </c>
      <c r="B426" s="11" t="s">
        <v>9</v>
      </c>
      <c r="C426" s="11">
        <v>3600452</v>
      </c>
      <c r="D426" s="11" t="s">
        <v>81</v>
      </c>
      <c r="E426" s="11" t="s">
        <v>82</v>
      </c>
      <c r="F426" s="11">
        <v>205.67</v>
      </c>
      <c r="G426" s="11">
        <v>558710419</v>
      </c>
      <c r="H426" s="11">
        <v>5</v>
      </c>
      <c r="I426" s="11">
        <f>SalesData[[#This Row],[Price]]*SalesData[[#This Row],[Quantity]]</f>
        <v>1028.3499999999999</v>
      </c>
      <c r="J426" s="11" t="str">
        <f t="shared" si="6"/>
        <v>Low</v>
      </c>
      <c r="K426" s="21" t="s">
        <v>292</v>
      </c>
    </row>
    <row r="427" spans="1:11">
      <c r="A427" s="10">
        <v>43771</v>
      </c>
      <c r="B427" s="11" t="s">
        <v>9</v>
      </c>
      <c r="C427" s="11">
        <v>3600452</v>
      </c>
      <c r="D427" s="11" t="s">
        <v>81</v>
      </c>
      <c r="E427" s="11" t="s">
        <v>82</v>
      </c>
      <c r="F427" s="11">
        <v>205.67</v>
      </c>
      <c r="G427" s="11">
        <v>519307909</v>
      </c>
      <c r="H427" s="11">
        <v>3</v>
      </c>
      <c r="I427" s="11">
        <f>SalesData[[#This Row],[Price]]*SalesData[[#This Row],[Quantity]]</f>
        <v>617.01</v>
      </c>
      <c r="J427" s="11" t="str">
        <f t="shared" si="6"/>
        <v>Low</v>
      </c>
      <c r="K427" s="21" t="s">
        <v>292</v>
      </c>
    </row>
    <row r="428" spans="1:11">
      <c r="A428" s="10">
        <v>43783</v>
      </c>
      <c r="B428" s="11" t="s">
        <v>9</v>
      </c>
      <c r="C428" s="11">
        <v>26300618</v>
      </c>
      <c r="D428" s="11" t="s">
        <v>235</v>
      </c>
      <c r="E428" s="11" t="s">
        <v>235</v>
      </c>
      <c r="F428" s="11">
        <v>204.64</v>
      </c>
      <c r="G428" s="11">
        <v>512670642</v>
      </c>
      <c r="H428" s="11">
        <v>4</v>
      </c>
      <c r="I428" s="11">
        <f>SalesData[[#This Row],[Price]]*SalesData[[#This Row],[Quantity]]</f>
        <v>818.56</v>
      </c>
      <c r="J428" s="11" t="str">
        <f t="shared" si="6"/>
        <v>Low</v>
      </c>
      <c r="K428" s="21" t="s">
        <v>235</v>
      </c>
    </row>
    <row r="429" spans="1:11">
      <c r="A429" s="10">
        <v>43779</v>
      </c>
      <c r="B429" s="11" t="s">
        <v>9</v>
      </c>
      <c r="C429" s="11">
        <v>26200591</v>
      </c>
      <c r="D429" s="11" t="s">
        <v>235</v>
      </c>
      <c r="E429" s="11" t="s">
        <v>235</v>
      </c>
      <c r="F429" s="11">
        <v>203.35</v>
      </c>
      <c r="G429" s="11">
        <v>548701002</v>
      </c>
      <c r="H429" s="11">
        <v>3</v>
      </c>
      <c r="I429" s="11">
        <f>SalesData[[#This Row],[Price]]*SalesData[[#This Row],[Quantity]]</f>
        <v>610.04999999999995</v>
      </c>
      <c r="J429" s="11" t="str">
        <f t="shared" si="6"/>
        <v>Low</v>
      </c>
      <c r="K429" s="21" t="s">
        <v>235</v>
      </c>
    </row>
    <row r="430" spans="1:11">
      <c r="A430" s="10">
        <v>43773</v>
      </c>
      <c r="B430" s="11" t="s">
        <v>9</v>
      </c>
      <c r="C430" s="11">
        <v>1004739</v>
      </c>
      <c r="D430" s="11" t="s">
        <v>11</v>
      </c>
      <c r="E430" s="11" t="s">
        <v>12</v>
      </c>
      <c r="F430" s="11">
        <v>203.09</v>
      </c>
      <c r="G430" s="11">
        <v>562012420</v>
      </c>
      <c r="H430" s="11">
        <v>5</v>
      </c>
      <c r="I430" s="11">
        <f>SalesData[[#This Row],[Price]]*SalesData[[#This Row],[Quantity]]</f>
        <v>1015.45</v>
      </c>
      <c r="J430" s="11" t="str">
        <f t="shared" si="6"/>
        <v>Low</v>
      </c>
      <c r="K430" s="21" t="s">
        <v>290</v>
      </c>
    </row>
    <row r="431" spans="1:11">
      <c r="A431" s="10">
        <v>43776</v>
      </c>
      <c r="B431" s="11" t="s">
        <v>9</v>
      </c>
      <c r="C431" s="11">
        <v>1004739</v>
      </c>
      <c r="D431" s="11" t="s">
        <v>11</v>
      </c>
      <c r="E431" s="11" t="s">
        <v>12</v>
      </c>
      <c r="F431" s="11">
        <v>203.09</v>
      </c>
      <c r="G431" s="11">
        <v>562012420</v>
      </c>
      <c r="H431" s="11">
        <v>2</v>
      </c>
      <c r="I431" s="11">
        <f>SalesData[[#This Row],[Price]]*SalesData[[#This Row],[Quantity]]</f>
        <v>406.18</v>
      </c>
      <c r="J431" s="11" t="str">
        <f t="shared" si="6"/>
        <v>Low</v>
      </c>
      <c r="K431" s="21" t="s">
        <v>290</v>
      </c>
    </row>
    <row r="432" spans="1:11">
      <c r="A432" s="10">
        <v>43779</v>
      </c>
      <c r="B432" s="11" t="s">
        <v>9</v>
      </c>
      <c r="C432" s="11">
        <v>1004739</v>
      </c>
      <c r="D432" s="11" t="s">
        <v>11</v>
      </c>
      <c r="E432" s="11" t="s">
        <v>12</v>
      </c>
      <c r="F432" s="11">
        <v>203.09</v>
      </c>
      <c r="G432" s="11">
        <v>523966975</v>
      </c>
      <c r="H432" s="11">
        <v>2</v>
      </c>
      <c r="I432" s="11">
        <f>SalesData[[#This Row],[Price]]*SalesData[[#This Row],[Quantity]]</f>
        <v>406.18</v>
      </c>
      <c r="J432" s="11" t="str">
        <f t="shared" si="6"/>
        <v>Low</v>
      </c>
      <c r="K432" s="21" t="s">
        <v>290</v>
      </c>
    </row>
    <row r="433" spans="1:11">
      <c r="A433" s="10">
        <v>43784</v>
      </c>
      <c r="B433" s="11" t="s">
        <v>9</v>
      </c>
      <c r="C433" s="11">
        <v>1004739</v>
      </c>
      <c r="D433" s="11" t="s">
        <v>11</v>
      </c>
      <c r="E433" s="11" t="s">
        <v>12</v>
      </c>
      <c r="F433" s="11">
        <v>203.09</v>
      </c>
      <c r="G433" s="11">
        <v>516200807</v>
      </c>
      <c r="H433" s="11">
        <v>3</v>
      </c>
      <c r="I433" s="11">
        <f>SalesData[[#This Row],[Price]]*SalesData[[#This Row],[Quantity]]</f>
        <v>609.27</v>
      </c>
      <c r="J433" s="11" t="str">
        <f t="shared" si="6"/>
        <v>Low</v>
      </c>
      <c r="K433" s="21" t="s">
        <v>290</v>
      </c>
    </row>
    <row r="434" spans="1:11">
      <c r="A434" s="10">
        <v>43780</v>
      </c>
      <c r="B434" s="11" t="s">
        <v>9</v>
      </c>
      <c r="C434" s="11">
        <v>1004739</v>
      </c>
      <c r="D434" s="11" t="s">
        <v>11</v>
      </c>
      <c r="E434" s="11" t="s">
        <v>12</v>
      </c>
      <c r="F434" s="11">
        <v>203.09</v>
      </c>
      <c r="G434" s="11">
        <v>551304161</v>
      </c>
      <c r="H434" s="11">
        <v>1</v>
      </c>
      <c r="I434" s="11">
        <f>SalesData[[#This Row],[Price]]*SalesData[[#This Row],[Quantity]]</f>
        <v>203.09</v>
      </c>
      <c r="J434" s="11" t="str">
        <f t="shared" si="6"/>
        <v>Low</v>
      </c>
      <c r="K434" s="21" t="s">
        <v>290</v>
      </c>
    </row>
    <row r="435" spans="1:11">
      <c r="A435" s="10">
        <v>43771</v>
      </c>
      <c r="B435" s="11" t="s">
        <v>9</v>
      </c>
      <c r="C435" s="11">
        <v>1004739</v>
      </c>
      <c r="D435" s="11" t="s">
        <v>11</v>
      </c>
      <c r="E435" s="11" t="s">
        <v>12</v>
      </c>
      <c r="F435" s="11">
        <v>203.09</v>
      </c>
      <c r="G435" s="11">
        <v>543013761</v>
      </c>
      <c r="H435" s="11">
        <v>1</v>
      </c>
      <c r="I435" s="11">
        <f>SalesData[[#This Row],[Price]]*SalesData[[#This Row],[Quantity]]</f>
        <v>203.09</v>
      </c>
      <c r="J435" s="11" t="str">
        <f t="shared" si="6"/>
        <v>Low</v>
      </c>
      <c r="K435" s="21" t="s">
        <v>290</v>
      </c>
    </row>
    <row r="436" spans="1:11">
      <c r="A436" s="10">
        <v>43774</v>
      </c>
      <c r="B436" s="11" t="s">
        <v>9</v>
      </c>
      <c r="C436" s="11">
        <v>1004739</v>
      </c>
      <c r="D436" s="11" t="s">
        <v>11</v>
      </c>
      <c r="E436" s="11" t="s">
        <v>12</v>
      </c>
      <c r="F436" s="11">
        <v>203.09</v>
      </c>
      <c r="G436" s="11">
        <v>516298129</v>
      </c>
      <c r="H436" s="11">
        <v>5</v>
      </c>
      <c r="I436" s="11">
        <f>SalesData[[#This Row],[Price]]*SalesData[[#This Row],[Quantity]]</f>
        <v>1015.45</v>
      </c>
      <c r="J436" s="11" t="str">
        <f t="shared" si="6"/>
        <v>Low</v>
      </c>
      <c r="K436" s="21" t="s">
        <v>290</v>
      </c>
    </row>
    <row r="437" spans="1:11">
      <c r="A437" s="10">
        <v>43777</v>
      </c>
      <c r="B437" s="11" t="s">
        <v>9</v>
      </c>
      <c r="C437" s="11">
        <v>1004739</v>
      </c>
      <c r="D437" s="11" t="s">
        <v>11</v>
      </c>
      <c r="E437" s="11" t="s">
        <v>12</v>
      </c>
      <c r="F437" s="11">
        <v>203.09</v>
      </c>
      <c r="G437" s="11">
        <v>554279958</v>
      </c>
      <c r="H437" s="11">
        <v>2</v>
      </c>
      <c r="I437" s="11">
        <f>SalesData[[#This Row],[Price]]*SalesData[[#This Row],[Quantity]]</f>
        <v>406.18</v>
      </c>
      <c r="J437" s="11" t="str">
        <f t="shared" si="6"/>
        <v>Low</v>
      </c>
      <c r="K437" s="21" t="s">
        <v>290</v>
      </c>
    </row>
    <row r="438" spans="1:11">
      <c r="A438" s="10">
        <v>43775</v>
      </c>
      <c r="B438" s="11" t="s">
        <v>9</v>
      </c>
      <c r="C438" s="11">
        <v>1004739</v>
      </c>
      <c r="D438" s="11" t="s">
        <v>11</v>
      </c>
      <c r="E438" s="11" t="s">
        <v>12</v>
      </c>
      <c r="F438" s="11">
        <v>203.09</v>
      </c>
      <c r="G438" s="11">
        <v>554279958</v>
      </c>
      <c r="H438" s="11">
        <v>3</v>
      </c>
      <c r="I438" s="11">
        <f>SalesData[[#This Row],[Price]]*SalesData[[#This Row],[Quantity]]</f>
        <v>609.27</v>
      </c>
      <c r="J438" s="11" t="str">
        <f t="shared" si="6"/>
        <v>Low</v>
      </c>
      <c r="K438" s="21" t="s">
        <v>290</v>
      </c>
    </row>
    <row r="439" spans="1:11">
      <c r="A439" s="10">
        <v>43781</v>
      </c>
      <c r="B439" s="11" t="s">
        <v>9</v>
      </c>
      <c r="C439" s="11">
        <v>1004739</v>
      </c>
      <c r="D439" s="11" t="s">
        <v>11</v>
      </c>
      <c r="E439" s="11" t="s">
        <v>12</v>
      </c>
      <c r="F439" s="11">
        <v>203.09</v>
      </c>
      <c r="G439" s="11">
        <v>513704584</v>
      </c>
      <c r="H439" s="11">
        <v>2</v>
      </c>
      <c r="I439" s="11">
        <f>SalesData[[#This Row],[Price]]*SalesData[[#This Row],[Quantity]]</f>
        <v>406.18</v>
      </c>
      <c r="J439" s="11" t="str">
        <f t="shared" si="6"/>
        <v>Low</v>
      </c>
      <c r="K439" s="21" t="s">
        <v>290</v>
      </c>
    </row>
    <row r="440" spans="1:11">
      <c r="A440" s="10">
        <v>43775</v>
      </c>
      <c r="B440" s="11" t="s">
        <v>9</v>
      </c>
      <c r="C440" s="11">
        <v>3601027</v>
      </c>
      <c r="D440" s="11" t="s">
        <v>81</v>
      </c>
      <c r="E440" s="11" t="s">
        <v>82</v>
      </c>
      <c r="F440" s="11">
        <v>200.66</v>
      </c>
      <c r="G440" s="11">
        <v>566299473</v>
      </c>
      <c r="H440" s="11">
        <v>1</v>
      </c>
      <c r="I440" s="11">
        <f>SalesData[[#This Row],[Price]]*SalesData[[#This Row],[Quantity]]</f>
        <v>200.66</v>
      </c>
      <c r="J440" s="11" t="str">
        <f t="shared" si="6"/>
        <v>Low</v>
      </c>
      <c r="K440" s="21" t="s">
        <v>292</v>
      </c>
    </row>
    <row r="441" spans="1:11">
      <c r="A441" s="10">
        <v>43770</v>
      </c>
      <c r="B441" s="11" t="s">
        <v>9</v>
      </c>
      <c r="C441" s="11">
        <v>17000107</v>
      </c>
      <c r="D441" s="11" t="s">
        <v>24</v>
      </c>
      <c r="E441" s="11" t="s">
        <v>35</v>
      </c>
      <c r="F441" s="11">
        <v>195.35</v>
      </c>
      <c r="G441" s="11">
        <v>548719875</v>
      </c>
      <c r="H441" s="11">
        <v>5</v>
      </c>
      <c r="I441" s="11">
        <f>SalesData[[#This Row],[Price]]*SalesData[[#This Row],[Quantity]]</f>
        <v>976.75</v>
      </c>
      <c r="J441" s="11" t="str">
        <f t="shared" si="6"/>
        <v>Low</v>
      </c>
      <c r="K441" s="21" t="s">
        <v>291</v>
      </c>
    </row>
    <row r="442" spans="1:11">
      <c r="A442" s="10">
        <v>43782</v>
      </c>
      <c r="B442" s="11" t="s">
        <v>9</v>
      </c>
      <c r="C442" s="11">
        <v>1004767</v>
      </c>
      <c r="D442" s="11" t="s">
        <v>11</v>
      </c>
      <c r="E442" s="11" t="s">
        <v>13</v>
      </c>
      <c r="F442" s="11">
        <v>242.63</v>
      </c>
      <c r="G442" s="11">
        <v>550984822</v>
      </c>
      <c r="H442" s="11">
        <v>4</v>
      </c>
      <c r="I442" s="11">
        <f>SalesData[[#This Row],[Price]]*SalesData[[#This Row],[Quantity]]</f>
        <v>970.52</v>
      </c>
      <c r="J442" s="11" t="str">
        <f t="shared" si="6"/>
        <v>Low</v>
      </c>
      <c r="K442" s="21" t="s">
        <v>290</v>
      </c>
    </row>
    <row r="443" spans="1:11">
      <c r="A443" s="10">
        <v>43784</v>
      </c>
      <c r="B443" s="11" t="s">
        <v>9</v>
      </c>
      <c r="C443" s="11">
        <v>1004767</v>
      </c>
      <c r="D443" s="11" t="s">
        <v>11</v>
      </c>
      <c r="E443" s="11" t="s">
        <v>13</v>
      </c>
      <c r="F443" s="11">
        <v>242.63</v>
      </c>
      <c r="G443" s="11">
        <v>566301260</v>
      </c>
      <c r="H443" s="11">
        <v>5</v>
      </c>
      <c r="I443" s="11">
        <f>SalesData[[#This Row],[Price]]*SalesData[[#This Row],[Quantity]]</f>
        <v>1213.1500000000001</v>
      </c>
      <c r="J443" s="11" t="str">
        <f t="shared" si="6"/>
        <v>Low</v>
      </c>
      <c r="K443" s="21" t="s">
        <v>290</v>
      </c>
    </row>
    <row r="444" spans="1:11">
      <c r="A444" s="10">
        <v>43771</v>
      </c>
      <c r="B444" s="11" t="s">
        <v>9</v>
      </c>
      <c r="C444" s="11">
        <v>1004767</v>
      </c>
      <c r="D444" s="11" t="s">
        <v>11</v>
      </c>
      <c r="E444" s="11" t="s">
        <v>13</v>
      </c>
      <c r="F444" s="11">
        <v>242.63</v>
      </c>
      <c r="G444" s="11">
        <v>546975014</v>
      </c>
      <c r="H444" s="11">
        <v>2</v>
      </c>
      <c r="I444" s="11">
        <f>SalesData[[#This Row],[Price]]*SalesData[[#This Row],[Quantity]]</f>
        <v>485.26</v>
      </c>
      <c r="J444" s="11" t="str">
        <f t="shared" si="6"/>
        <v>Low</v>
      </c>
      <c r="K444" s="21" t="s">
        <v>290</v>
      </c>
    </row>
    <row r="445" spans="1:11">
      <c r="A445" s="10">
        <v>43772</v>
      </c>
      <c r="B445" s="11" t="s">
        <v>9</v>
      </c>
      <c r="C445" s="11">
        <v>1004767</v>
      </c>
      <c r="D445" s="11" t="s">
        <v>11</v>
      </c>
      <c r="E445" s="11" t="s">
        <v>13</v>
      </c>
      <c r="F445" s="11">
        <v>242.63</v>
      </c>
      <c r="G445" s="11">
        <v>550579646</v>
      </c>
      <c r="H445" s="11">
        <v>1</v>
      </c>
      <c r="I445" s="11">
        <f>SalesData[[#This Row],[Price]]*SalesData[[#This Row],[Quantity]]</f>
        <v>242.63</v>
      </c>
      <c r="J445" s="11" t="str">
        <f t="shared" si="6"/>
        <v>Low</v>
      </c>
      <c r="K445" s="21" t="s">
        <v>290</v>
      </c>
    </row>
    <row r="446" spans="1:11">
      <c r="A446" s="10">
        <v>43773</v>
      </c>
      <c r="B446" s="11" t="s">
        <v>9</v>
      </c>
      <c r="C446" s="11">
        <v>1004767</v>
      </c>
      <c r="D446" s="11" t="s">
        <v>11</v>
      </c>
      <c r="E446" s="11" t="s">
        <v>13</v>
      </c>
      <c r="F446" s="11">
        <v>242.63</v>
      </c>
      <c r="G446" s="11">
        <v>546975014</v>
      </c>
      <c r="H446" s="11">
        <v>4</v>
      </c>
      <c r="I446" s="11">
        <f>SalesData[[#This Row],[Price]]*SalesData[[#This Row],[Quantity]]</f>
        <v>970.52</v>
      </c>
      <c r="J446" s="11" t="str">
        <f t="shared" si="6"/>
        <v>Low</v>
      </c>
      <c r="K446" s="21" t="s">
        <v>290</v>
      </c>
    </row>
    <row r="447" spans="1:11">
      <c r="A447" s="10">
        <v>43772</v>
      </c>
      <c r="B447" s="11" t="s">
        <v>9</v>
      </c>
      <c r="C447" s="11">
        <v>1004767</v>
      </c>
      <c r="D447" s="11" t="s">
        <v>11</v>
      </c>
      <c r="E447" s="11" t="s">
        <v>13</v>
      </c>
      <c r="F447" s="11">
        <v>242.63</v>
      </c>
      <c r="G447" s="11">
        <v>565400809</v>
      </c>
      <c r="H447" s="11">
        <v>1</v>
      </c>
      <c r="I447" s="11">
        <f>SalesData[[#This Row],[Price]]*SalesData[[#This Row],[Quantity]]</f>
        <v>242.63</v>
      </c>
      <c r="J447" s="11" t="str">
        <f t="shared" si="6"/>
        <v>Low</v>
      </c>
      <c r="K447" s="21" t="s">
        <v>290</v>
      </c>
    </row>
    <row r="448" spans="1:11">
      <c r="A448" s="10">
        <v>43778</v>
      </c>
      <c r="B448" s="11" t="s">
        <v>9</v>
      </c>
      <c r="C448" s="11">
        <v>26201661</v>
      </c>
      <c r="D448" s="11" t="s">
        <v>235</v>
      </c>
      <c r="E448" s="11" t="s">
        <v>235</v>
      </c>
      <c r="F448" s="11">
        <v>194.6</v>
      </c>
      <c r="G448" s="11">
        <v>540247266</v>
      </c>
      <c r="H448" s="11">
        <v>4</v>
      </c>
      <c r="I448" s="11">
        <f>SalesData[[#This Row],[Price]]*SalesData[[#This Row],[Quantity]]</f>
        <v>778.4</v>
      </c>
      <c r="J448" s="11" t="str">
        <f t="shared" si="6"/>
        <v>Low</v>
      </c>
      <c r="K448" s="21" t="s">
        <v>235</v>
      </c>
    </row>
    <row r="449" spans="1:11">
      <c r="A449" s="10">
        <v>43773</v>
      </c>
      <c r="B449" s="11" t="s">
        <v>9</v>
      </c>
      <c r="C449" s="11">
        <v>1004767</v>
      </c>
      <c r="D449" s="11" t="s">
        <v>11</v>
      </c>
      <c r="E449" s="11" t="s">
        <v>13</v>
      </c>
      <c r="F449" s="11">
        <v>242.63</v>
      </c>
      <c r="G449" s="11">
        <v>513003500</v>
      </c>
      <c r="H449" s="11">
        <v>5</v>
      </c>
      <c r="I449" s="11">
        <f>SalesData[[#This Row],[Price]]*SalesData[[#This Row],[Quantity]]</f>
        <v>1213.1500000000001</v>
      </c>
      <c r="J449" s="11" t="str">
        <f t="shared" si="6"/>
        <v>Low</v>
      </c>
      <c r="K449" s="21" t="s">
        <v>290</v>
      </c>
    </row>
    <row r="450" spans="1:11">
      <c r="A450" s="10">
        <v>43782</v>
      </c>
      <c r="B450" s="11" t="s">
        <v>9</v>
      </c>
      <c r="C450" s="11">
        <v>4501650</v>
      </c>
      <c r="D450" s="11" t="s">
        <v>54</v>
      </c>
      <c r="E450" s="11" t="s">
        <v>29</v>
      </c>
      <c r="F450" s="11">
        <v>193.03</v>
      </c>
      <c r="G450" s="11">
        <v>516725758</v>
      </c>
      <c r="H450" s="11">
        <v>3</v>
      </c>
      <c r="I450" s="11">
        <f>SalesData[[#This Row],[Price]]*SalesData[[#This Row],[Quantity]]</f>
        <v>579.09</v>
      </c>
      <c r="J450" s="11" t="str">
        <f t="shared" ref="J450:J513" si="7">IF(F450&lt;500, "Low", IF(F450&lt;1500, "Medium", "High"))</f>
        <v>Low</v>
      </c>
      <c r="K450" s="21" t="s">
        <v>292</v>
      </c>
    </row>
    <row r="451" spans="1:11">
      <c r="A451" s="10">
        <v>43773</v>
      </c>
      <c r="B451" s="11" t="s">
        <v>9</v>
      </c>
      <c r="C451" s="11">
        <v>2701962</v>
      </c>
      <c r="D451" s="11" t="s">
        <v>100</v>
      </c>
      <c r="E451" s="11" t="s">
        <v>29</v>
      </c>
      <c r="F451" s="11">
        <v>192.8</v>
      </c>
      <c r="G451" s="11">
        <v>512826309</v>
      </c>
      <c r="H451" s="11">
        <v>2</v>
      </c>
      <c r="I451" s="11">
        <f>SalesData[[#This Row],[Price]]*SalesData[[#This Row],[Quantity]]</f>
        <v>385.6</v>
      </c>
      <c r="J451" s="11" t="str">
        <f t="shared" si="7"/>
        <v>Low</v>
      </c>
      <c r="K451" s="21" t="s">
        <v>292</v>
      </c>
    </row>
    <row r="452" spans="1:11">
      <c r="A452" s="10">
        <v>43776</v>
      </c>
      <c r="B452" s="11" t="s">
        <v>9</v>
      </c>
      <c r="C452" s="11">
        <v>2701962</v>
      </c>
      <c r="D452" s="11" t="s">
        <v>100</v>
      </c>
      <c r="E452" s="11" t="s">
        <v>29</v>
      </c>
      <c r="F452" s="11">
        <v>192.8</v>
      </c>
      <c r="G452" s="11">
        <v>512826309</v>
      </c>
      <c r="H452" s="11">
        <v>3</v>
      </c>
      <c r="I452" s="11">
        <f>SalesData[[#This Row],[Price]]*SalesData[[#This Row],[Quantity]]</f>
        <v>578.40000000000009</v>
      </c>
      <c r="J452" s="11" t="str">
        <f t="shared" si="7"/>
        <v>Low</v>
      </c>
      <c r="K452" s="21" t="s">
        <v>292</v>
      </c>
    </row>
    <row r="453" spans="1:11">
      <c r="A453" s="10">
        <v>43774</v>
      </c>
      <c r="B453" s="11" t="s">
        <v>9</v>
      </c>
      <c r="C453" s="11">
        <v>1004741</v>
      </c>
      <c r="D453" s="11" t="s">
        <v>11</v>
      </c>
      <c r="E453" s="11" t="s">
        <v>12</v>
      </c>
      <c r="F453" s="11">
        <v>189.97</v>
      </c>
      <c r="G453" s="11">
        <v>545304497</v>
      </c>
      <c r="H453" s="11">
        <v>3</v>
      </c>
      <c r="I453" s="11">
        <f>SalesData[[#This Row],[Price]]*SalesData[[#This Row],[Quantity]]</f>
        <v>569.91</v>
      </c>
      <c r="J453" s="11" t="str">
        <f t="shared" si="7"/>
        <v>Low</v>
      </c>
      <c r="K453" s="21" t="s">
        <v>290</v>
      </c>
    </row>
    <row r="454" spans="1:11">
      <c r="A454" s="10">
        <v>43776</v>
      </c>
      <c r="B454" s="11" t="s">
        <v>9</v>
      </c>
      <c r="C454" s="11">
        <v>1004741</v>
      </c>
      <c r="D454" s="11" t="s">
        <v>11</v>
      </c>
      <c r="E454" s="11" t="s">
        <v>12</v>
      </c>
      <c r="F454" s="11">
        <v>189.97</v>
      </c>
      <c r="G454" s="11">
        <v>566294571</v>
      </c>
      <c r="H454" s="11">
        <v>4</v>
      </c>
      <c r="I454" s="11">
        <f>SalesData[[#This Row],[Price]]*SalesData[[#This Row],[Quantity]]</f>
        <v>759.88</v>
      </c>
      <c r="J454" s="11" t="str">
        <f t="shared" si="7"/>
        <v>Low</v>
      </c>
      <c r="K454" s="21" t="s">
        <v>290</v>
      </c>
    </row>
    <row r="455" spans="1:11">
      <c r="A455" s="10">
        <v>43775</v>
      </c>
      <c r="B455" s="11" t="s">
        <v>9</v>
      </c>
      <c r="C455" s="11">
        <v>1004741</v>
      </c>
      <c r="D455" s="11" t="s">
        <v>11</v>
      </c>
      <c r="E455" s="11" t="s">
        <v>12</v>
      </c>
      <c r="F455" s="11">
        <v>189.97</v>
      </c>
      <c r="G455" s="11">
        <v>514526295</v>
      </c>
      <c r="H455" s="11">
        <v>4</v>
      </c>
      <c r="I455" s="11">
        <f>SalesData[[#This Row],[Price]]*SalesData[[#This Row],[Quantity]]</f>
        <v>759.88</v>
      </c>
      <c r="J455" s="11" t="str">
        <f t="shared" si="7"/>
        <v>Low</v>
      </c>
      <c r="K455" s="21" t="s">
        <v>290</v>
      </c>
    </row>
    <row r="456" spans="1:11">
      <c r="A456" s="10">
        <v>43770</v>
      </c>
      <c r="B456" s="11" t="s">
        <v>9</v>
      </c>
      <c r="C456" s="11">
        <v>1004741</v>
      </c>
      <c r="D456" s="11" t="s">
        <v>11</v>
      </c>
      <c r="E456" s="11" t="s">
        <v>12</v>
      </c>
      <c r="F456" s="11">
        <v>189.97</v>
      </c>
      <c r="G456" s="11">
        <v>566298023</v>
      </c>
      <c r="H456" s="11">
        <v>3</v>
      </c>
      <c r="I456" s="11">
        <f>SalesData[[#This Row],[Price]]*SalesData[[#This Row],[Quantity]]</f>
        <v>569.91</v>
      </c>
      <c r="J456" s="11" t="str">
        <f t="shared" si="7"/>
        <v>Low</v>
      </c>
      <c r="K456" s="21" t="s">
        <v>290</v>
      </c>
    </row>
    <row r="457" spans="1:11">
      <c r="A457" s="10">
        <v>43775</v>
      </c>
      <c r="B457" s="11" t="s">
        <v>9</v>
      </c>
      <c r="C457" s="11">
        <v>1004741</v>
      </c>
      <c r="D457" s="11" t="s">
        <v>11</v>
      </c>
      <c r="E457" s="11" t="s">
        <v>12</v>
      </c>
      <c r="F457" s="11">
        <v>189.97</v>
      </c>
      <c r="G457" s="11">
        <v>512527352</v>
      </c>
      <c r="H457" s="11">
        <v>5</v>
      </c>
      <c r="I457" s="11">
        <f>SalesData[[#This Row],[Price]]*SalesData[[#This Row],[Quantity]]</f>
        <v>949.85</v>
      </c>
      <c r="J457" s="11" t="str">
        <f t="shared" si="7"/>
        <v>Low</v>
      </c>
      <c r="K457" s="21" t="s">
        <v>290</v>
      </c>
    </row>
    <row r="458" spans="1:11">
      <c r="A458" s="10">
        <v>43780</v>
      </c>
      <c r="B458" s="11" t="s">
        <v>9</v>
      </c>
      <c r="C458" s="11">
        <v>1004741</v>
      </c>
      <c r="D458" s="11" t="s">
        <v>11</v>
      </c>
      <c r="E458" s="11" t="s">
        <v>12</v>
      </c>
      <c r="F458" s="11">
        <v>189.97</v>
      </c>
      <c r="G458" s="11">
        <v>566199754</v>
      </c>
      <c r="H458" s="11">
        <v>3</v>
      </c>
      <c r="I458" s="11">
        <f>SalesData[[#This Row],[Price]]*SalesData[[#This Row],[Quantity]]</f>
        <v>569.91</v>
      </c>
      <c r="J458" s="11" t="str">
        <f t="shared" si="7"/>
        <v>Low</v>
      </c>
      <c r="K458" s="21" t="s">
        <v>290</v>
      </c>
    </row>
    <row r="459" spans="1:11">
      <c r="A459" s="10">
        <v>43782</v>
      </c>
      <c r="B459" s="11" t="s">
        <v>9</v>
      </c>
      <c r="C459" s="11">
        <v>1004741</v>
      </c>
      <c r="D459" s="11" t="s">
        <v>11</v>
      </c>
      <c r="E459" s="11" t="s">
        <v>12</v>
      </c>
      <c r="F459" s="11">
        <v>189.97</v>
      </c>
      <c r="G459" s="11">
        <v>566199754</v>
      </c>
      <c r="H459" s="11">
        <v>1</v>
      </c>
      <c r="I459" s="11">
        <f>SalesData[[#This Row],[Price]]*SalesData[[#This Row],[Quantity]]</f>
        <v>189.97</v>
      </c>
      <c r="J459" s="11" t="str">
        <f t="shared" si="7"/>
        <v>Low</v>
      </c>
      <c r="K459" s="21" t="s">
        <v>290</v>
      </c>
    </row>
    <row r="460" spans="1:11">
      <c r="A460" s="10">
        <v>43774</v>
      </c>
      <c r="B460" s="11" t="s">
        <v>9</v>
      </c>
      <c r="C460" s="11">
        <v>1004741</v>
      </c>
      <c r="D460" s="11" t="s">
        <v>11</v>
      </c>
      <c r="E460" s="11" t="s">
        <v>12</v>
      </c>
      <c r="F460" s="11">
        <v>189.97</v>
      </c>
      <c r="G460" s="11">
        <v>513532474</v>
      </c>
      <c r="H460" s="11">
        <v>2</v>
      </c>
      <c r="I460" s="11">
        <f>SalesData[[#This Row],[Price]]*SalesData[[#This Row],[Quantity]]</f>
        <v>379.94</v>
      </c>
      <c r="J460" s="11" t="str">
        <f t="shared" si="7"/>
        <v>Low</v>
      </c>
      <c r="K460" s="21" t="s">
        <v>290</v>
      </c>
    </row>
    <row r="461" spans="1:11">
      <c r="A461" s="10">
        <v>43779</v>
      </c>
      <c r="B461" s="11" t="s">
        <v>9</v>
      </c>
      <c r="C461" s="11">
        <v>1004741</v>
      </c>
      <c r="D461" s="11" t="s">
        <v>11</v>
      </c>
      <c r="E461" s="11" t="s">
        <v>12</v>
      </c>
      <c r="F461" s="11">
        <v>189.97</v>
      </c>
      <c r="G461" s="11">
        <v>515238387</v>
      </c>
      <c r="H461" s="11">
        <v>5</v>
      </c>
      <c r="I461" s="11">
        <f>SalesData[[#This Row],[Price]]*SalesData[[#This Row],[Quantity]]</f>
        <v>949.85</v>
      </c>
      <c r="J461" s="11" t="str">
        <f t="shared" si="7"/>
        <v>Low</v>
      </c>
      <c r="K461" s="21" t="s">
        <v>290</v>
      </c>
    </row>
    <row r="462" spans="1:11">
      <c r="A462" s="10">
        <v>43781</v>
      </c>
      <c r="B462" s="11" t="s">
        <v>9</v>
      </c>
      <c r="C462" s="11">
        <v>1004741</v>
      </c>
      <c r="D462" s="11" t="s">
        <v>11</v>
      </c>
      <c r="E462" s="11" t="s">
        <v>12</v>
      </c>
      <c r="F462" s="11">
        <v>189.97</v>
      </c>
      <c r="G462" s="11">
        <v>520235701</v>
      </c>
      <c r="H462" s="11">
        <v>2</v>
      </c>
      <c r="I462" s="11">
        <f>SalesData[[#This Row],[Price]]*SalesData[[#This Row],[Quantity]]</f>
        <v>379.94</v>
      </c>
      <c r="J462" s="11" t="str">
        <f t="shared" si="7"/>
        <v>Low</v>
      </c>
      <c r="K462" s="21" t="s">
        <v>290</v>
      </c>
    </row>
    <row r="463" spans="1:11">
      <c r="A463" s="10">
        <v>43779</v>
      </c>
      <c r="B463" s="11" t="s">
        <v>9</v>
      </c>
      <c r="C463" s="11">
        <v>1004741</v>
      </c>
      <c r="D463" s="11" t="s">
        <v>11</v>
      </c>
      <c r="E463" s="11" t="s">
        <v>12</v>
      </c>
      <c r="F463" s="11">
        <v>189.97</v>
      </c>
      <c r="G463" s="11">
        <v>516287469</v>
      </c>
      <c r="H463" s="11">
        <v>2</v>
      </c>
      <c r="I463" s="11">
        <f>SalesData[[#This Row],[Price]]*SalesData[[#This Row],[Quantity]]</f>
        <v>379.94</v>
      </c>
      <c r="J463" s="11" t="str">
        <f t="shared" si="7"/>
        <v>Low</v>
      </c>
      <c r="K463" s="21" t="s">
        <v>290</v>
      </c>
    </row>
    <row r="464" spans="1:11">
      <c r="A464" s="10">
        <v>43775</v>
      </c>
      <c r="B464" s="11" t="s">
        <v>9</v>
      </c>
      <c r="C464" s="11">
        <v>1004767</v>
      </c>
      <c r="D464" s="11" t="s">
        <v>11</v>
      </c>
      <c r="E464" s="11" t="s">
        <v>13</v>
      </c>
      <c r="F464" s="11">
        <v>242.63</v>
      </c>
      <c r="G464" s="11">
        <v>519659731</v>
      </c>
      <c r="H464" s="11">
        <v>3</v>
      </c>
      <c r="I464" s="11">
        <f>SalesData[[#This Row],[Price]]*SalesData[[#This Row],[Quantity]]</f>
        <v>727.89</v>
      </c>
      <c r="J464" s="11" t="str">
        <f t="shared" si="7"/>
        <v>Low</v>
      </c>
      <c r="K464" s="21" t="s">
        <v>290</v>
      </c>
    </row>
    <row r="465" spans="1:11">
      <c r="A465" s="10">
        <v>43780</v>
      </c>
      <c r="B465" s="11" t="s">
        <v>9</v>
      </c>
      <c r="C465" s="11">
        <v>1004767</v>
      </c>
      <c r="D465" s="11" t="s">
        <v>11</v>
      </c>
      <c r="E465" s="11" t="s">
        <v>13</v>
      </c>
      <c r="F465" s="11">
        <v>242.63</v>
      </c>
      <c r="G465" s="11">
        <v>554225828</v>
      </c>
      <c r="H465" s="11">
        <v>1</v>
      </c>
      <c r="I465" s="11">
        <f>SalesData[[#This Row],[Price]]*SalesData[[#This Row],[Quantity]]</f>
        <v>242.63</v>
      </c>
      <c r="J465" s="11" t="str">
        <f t="shared" si="7"/>
        <v>Low</v>
      </c>
      <c r="K465" s="21" t="s">
        <v>290</v>
      </c>
    </row>
    <row r="466" spans="1:11">
      <c r="A466" s="10">
        <v>43771</v>
      </c>
      <c r="B466" s="11" t="s">
        <v>9</v>
      </c>
      <c r="C466" s="11">
        <v>1004767</v>
      </c>
      <c r="D466" s="11" t="s">
        <v>11</v>
      </c>
      <c r="E466" s="11" t="s">
        <v>13</v>
      </c>
      <c r="F466" s="11">
        <v>242.63</v>
      </c>
      <c r="G466" s="11">
        <v>563186550</v>
      </c>
      <c r="H466" s="11">
        <v>2</v>
      </c>
      <c r="I466" s="11">
        <f>SalesData[[#This Row],[Price]]*SalesData[[#This Row],[Quantity]]</f>
        <v>485.26</v>
      </c>
      <c r="J466" s="11" t="str">
        <f t="shared" si="7"/>
        <v>Low</v>
      </c>
      <c r="K466" s="21" t="s">
        <v>290</v>
      </c>
    </row>
    <row r="467" spans="1:11">
      <c r="A467" s="10">
        <v>43782</v>
      </c>
      <c r="B467" s="11" t="s">
        <v>9</v>
      </c>
      <c r="C467" s="11">
        <v>1004767</v>
      </c>
      <c r="D467" s="11" t="s">
        <v>11</v>
      </c>
      <c r="E467" s="11" t="s">
        <v>13</v>
      </c>
      <c r="F467" s="11">
        <v>242.63</v>
      </c>
      <c r="G467" s="11">
        <v>565708694</v>
      </c>
      <c r="H467" s="11">
        <v>3</v>
      </c>
      <c r="I467" s="11">
        <f>SalesData[[#This Row],[Price]]*SalesData[[#This Row],[Quantity]]</f>
        <v>727.89</v>
      </c>
      <c r="J467" s="11" t="str">
        <f t="shared" si="7"/>
        <v>Low</v>
      </c>
      <c r="K467" s="21" t="s">
        <v>290</v>
      </c>
    </row>
    <row r="468" spans="1:11">
      <c r="A468" s="10">
        <v>43784</v>
      </c>
      <c r="B468" s="11" t="s">
        <v>9</v>
      </c>
      <c r="C468" s="11">
        <v>1004767</v>
      </c>
      <c r="D468" s="11" t="s">
        <v>11</v>
      </c>
      <c r="E468" s="11" t="s">
        <v>13</v>
      </c>
      <c r="F468" s="11">
        <v>242.63</v>
      </c>
      <c r="G468" s="11">
        <v>543633733</v>
      </c>
      <c r="H468" s="11">
        <v>1</v>
      </c>
      <c r="I468" s="11">
        <f>SalesData[[#This Row],[Price]]*SalesData[[#This Row],[Quantity]]</f>
        <v>242.63</v>
      </c>
      <c r="J468" s="11" t="str">
        <f t="shared" si="7"/>
        <v>Low</v>
      </c>
      <c r="K468" s="21" t="s">
        <v>290</v>
      </c>
    </row>
    <row r="469" spans="1:11">
      <c r="A469" s="10">
        <v>43777</v>
      </c>
      <c r="B469" s="11" t="s">
        <v>9</v>
      </c>
      <c r="C469" s="11">
        <v>26500141</v>
      </c>
      <c r="D469" s="11" t="s">
        <v>235</v>
      </c>
      <c r="E469" s="11" t="s">
        <v>14</v>
      </c>
      <c r="F469" s="11">
        <v>186.11</v>
      </c>
      <c r="G469" s="11">
        <v>521026062</v>
      </c>
      <c r="H469" s="11">
        <v>3</v>
      </c>
      <c r="I469" s="11">
        <f>SalesData[[#This Row],[Price]]*SalesData[[#This Row],[Quantity]]</f>
        <v>558.33000000000004</v>
      </c>
      <c r="J469" s="11" t="str">
        <f t="shared" si="7"/>
        <v>Low</v>
      </c>
      <c r="K469" s="21" t="s">
        <v>235</v>
      </c>
    </row>
    <row r="470" spans="1:11">
      <c r="A470" s="10">
        <v>43770</v>
      </c>
      <c r="B470" s="11" t="s">
        <v>9</v>
      </c>
      <c r="C470" s="11">
        <v>26400292</v>
      </c>
      <c r="D470" s="11" t="s">
        <v>235</v>
      </c>
      <c r="E470" s="11" t="s">
        <v>14</v>
      </c>
      <c r="F470" s="11">
        <v>185.85</v>
      </c>
      <c r="G470" s="11">
        <v>521374214</v>
      </c>
      <c r="H470" s="11">
        <v>5</v>
      </c>
      <c r="I470" s="11">
        <f>SalesData[[#This Row],[Price]]*SalesData[[#This Row],[Quantity]]</f>
        <v>929.25</v>
      </c>
      <c r="J470" s="11" t="str">
        <f t="shared" si="7"/>
        <v>Low</v>
      </c>
      <c r="K470" s="21" t="s">
        <v>235</v>
      </c>
    </row>
    <row r="471" spans="1:11">
      <c r="A471" s="10">
        <v>43770</v>
      </c>
      <c r="B471" s="11" t="s">
        <v>9</v>
      </c>
      <c r="C471" s="11">
        <v>5700785</v>
      </c>
      <c r="D471" s="11" t="s">
        <v>59</v>
      </c>
      <c r="E471" s="11" t="s">
        <v>235</v>
      </c>
      <c r="F471" s="11">
        <v>180.16</v>
      </c>
      <c r="G471" s="11">
        <v>522560074</v>
      </c>
      <c r="H471" s="11">
        <v>1</v>
      </c>
      <c r="I471" s="11">
        <f>SalesData[[#This Row],[Price]]*SalesData[[#This Row],[Quantity]]</f>
        <v>180.16</v>
      </c>
      <c r="J471" s="11" t="str">
        <f t="shared" si="7"/>
        <v>Low</v>
      </c>
      <c r="K471" s="21" t="s">
        <v>295</v>
      </c>
    </row>
    <row r="472" spans="1:11">
      <c r="A472" s="10">
        <v>43775</v>
      </c>
      <c r="B472" s="11" t="s">
        <v>9</v>
      </c>
      <c r="C472" s="11">
        <v>1801995</v>
      </c>
      <c r="D472" s="11" t="s">
        <v>15</v>
      </c>
      <c r="E472" s="11" t="s">
        <v>78</v>
      </c>
      <c r="F472" s="11">
        <v>180.16</v>
      </c>
      <c r="G472" s="11">
        <v>516426931</v>
      </c>
      <c r="H472" s="11">
        <v>4</v>
      </c>
      <c r="I472" s="11">
        <f>SalesData[[#This Row],[Price]]*SalesData[[#This Row],[Quantity]]</f>
        <v>720.64</v>
      </c>
      <c r="J472" s="11" t="str">
        <f t="shared" si="7"/>
        <v>Low</v>
      </c>
      <c r="K472" s="21" t="s">
        <v>290</v>
      </c>
    </row>
    <row r="473" spans="1:11">
      <c r="A473" s="10">
        <v>43774</v>
      </c>
      <c r="B473" s="11" t="s">
        <v>9</v>
      </c>
      <c r="C473" s="11">
        <v>3601405</v>
      </c>
      <c r="D473" s="11" t="s">
        <v>81</v>
      </c>
      <c r="E473" s="11" t="s">
        <v>206</v>
      </c>
      <c r="F473" s="11">
        <v>180.16</v>
      </c>
      <c r="G473" s="11">
        <v>514584748</v>
      </c>
      <c r="H473" s="11">
        <v>3</v>
      </c>
      <c r="I473" s="11">
        <f>SalesData[[#This Row],[Price]]*SalesData[[#This Row],[Quantity]]</f>
        <v>540.48</v>
      </c>
      <c r="J473" s="11" t="str">
        <f t="shared" si="7"/>
        <v>Low</v>
      </c>
      <c r="K473" s="21" t="s">
        <v>292</v>
      </c>
    </row>
    <row r="474" spans="1:11">
      <c r="A474" s="10">
        <v>43772</v>
      </c>
      <c r="B474" s="11" t="s">
        <v>9</v>
      </c>
      <c r="C474" s="11">
        <v>26401404</v>
      </c>
      <c r="D474" s="11" t="s">
        <v>235</v>
      </c>
      <c r="E474" s="11" t="s">
        <v>14</v>
      </c>
      <c r="F474" s="11">
        <v>179.41</v>
      </c>
      <c r="G474" s="11">
        <v>561481806</v>
      </c>
      <c r="H474" s="11">
        <v>3</v>
      </c>
      <c r="I474" s="11">
        <f>SalesData[[#This Row],[Price]]*SalesData[[#This Row],[Quantity]]</f>
        <v>538.23</v>
      </c>
      <c r="J474" s="11" t="str">
        <f t="shared" si="7"/>
        <v>Low</v>
      </c>
      <c r="K474" s="21" t="s">
        <v>235</v>
      </c>
    </row>
    <row r="475" spans="1:11">
      <c r="A475" s="10">
        <v>43778</v>
      </c>
      <c r="B475" s="11" t="s">
        <v>9</v>
      </c>
      <c r="C475" s="11">
        <v>1004839</v>
      </c>
      <c r="D475" s="11" t="s">
        <v>11</v>
      </c>
      <c r="E475" s="11" t="s">
        <v>47</v>
      </c>
      <c r="F475" s="11">
        <v>179.12</v>
      </c>
      <c r="G475" s="11">
        <v>542677637</v>
      </c>
      <c r="H475" s="11">
        <v>5</v>
      </c>
      <c r="I475" s="11">
        <f>SalesData[[#This Row],[Price]]*SalesData[[#This Row],[Quantity]]</f>
        <v>895.6</v>
      </c>
      <c r="J475" s="11" t="str">
        <f t="shared" si="7"/>
        <v>Low</v>
      </c>
      <c r="K475" s="21" t="s">
        <v>290</v>
      </c>
    </row>
    <row r="476" spans="1:11">
      <c r="A476" s="10">
        <v>43779</v>
      </c>
      <c r="B476" s="11" t="s">
        <v>9</v>
      </c>
      <c r="C476" s="11">
        <v>1004402</v>
      </c>
      <c r="D476" s="11" t="s">
        <v>11</v>
      </c>
      <c r="E476" s="11" t="s">
        <v>12</v>
      </c>
      <c r="F476" s="11">
        <v>178.9</v>
      </c>
      <c r="G476" s="11">
        <v>519126099</v>
      </c>
      <c r="H476" s="11">
        <v>5</v>
      </c>
      <c r="I476" s="11">
        <f>SalesData[[#This Row],[Price]]*SalesData[[#This Row],[Quantity]]</f>
        <v>894.5</v>
      </c>
      <c r="J476" s="11" t="str">
        <f t="shared" si="7"/>
        <v>Low</v>
      </c>
      <c r="K476" s="21" t="s">
        <v>290</v>
      </c>
    </row>
    <row r="477" spans="1:11">
      <c r="A477" s="10">
        <v>43784</v>
      </c>
      <c r="B477" s="11" t="s">
        <v>9</v>
      </c>
      <c r="C477" s="11">
        <v>1004838</v>
      </c>
      <c r="D477" s="11" t="s">
        <v>11</v>
      </c>
      <c r="E477" s="11" t="s">
        <v>47</v>
      </c>
      <c r="F477" s="11">
        <v>178.87</v>
      </c>
      <c r="G477" s="11">
        <v>514086280</v>
      </c>
      <c r="H477" s="11">
        <v>4</v>
      </c>
      <c r="I477" s="11">
        <f>SalesData[[#This Row],[Price]]*SalesData[[#This Row],[Quantity]]</f>
        <v>715.48</v>
      </c>
      <c r="J477" s="11" t="str">
        <f t="shared" si="7"/>
        <v>Low</v>
      </c>
      <c r="K477" s="21" t="s">
        <v>290</v>
      </c>
    </row>
    <row r="478" spans="1:11">
      <c r="A478" s="10">
        <v>43778</v>
      </c>
      <c r="B478" s="11" t="s">
        <v>9</v>
      </c>
      <c r="C478" s="11">
        <v>1004838</v>
      </c>
      <c r="D478" s="11" t="s">
        <v>11</v>
      </c>
      <c r="E478" s="11" t="s">
        <v>47</v>
      </c>
      <c r="F478" s="11">
        <v>178.87</v>
      </c>
      <c r="G478" s="11">
        <v>566286144</v>
      </c>
      <c r="H478" s="11">
        <v>1</v>
      </c>
      <c r="I478" s="11">
        <f>SalesData[[#This Row],[Price]]*SalesData[[#This Row],[Quantity]]</f>
        <v>178.87</v>
      </c>
      <c r="J478" s="11" t="str">
        <f t="shared" si="7"/>
        <v>Low</v>
      </c>
      <c r="K478" s="21" t="s">
        <v>290</v>
      </c>
    </row>
    <row r="479" spans="1:11">
      <c r="A479" s="10">
        <v>43780</v>
      </c>
      <c r="B479" s="11" t="s">
        <v>9</v>
      </c>
      <c r="C479" s="11">
        <v>1004838</v>
      </c>
      <c r="D479" s="11" t="s">
        <v>11</v>
      </c>
      <c r="E479" s="11" t="s">
        <v>47</v>
      </c>
      <c r="F479" s="11">
        <v>178.87</v>
      </c>
      <c r="G479" s="11">
        <v>560839778</v>
      </c>
      <c r="H479" s="11">
        <v>4</v>
      </c>
      <c r="I479" s="11">
        <f>SalesData[[#This Row],[Price]]*SalesData[[#This Row],[Quantity]]</f>
        <v>715.48</v>
      </c>
      <c r="J479" s="11" t="str">
        <f t="shared" si="7"/>
        <v>Low</v>
      </c>
      <c r="K479" s="21" t="s">
        <v>290</v>
      </c>
    </row>
    <row r="480" spans="1:11">
      <c r="A480" s="10">
        <v>43780</v>
      </c>
      <c r="B480" s="11" t="s">
        <v>9</v>
      </c>
      <c r="C480" s="11">
        <v>1004838</v>
      </c>
      <c r="D480" s="11" t="s">
        <v>11</v>
      </c>
      <c r="E480" s="11" t="s">
        <v>47</v>
      </c>
      <c r="F480" s="11">
        <v>178.87</v>
      </c>
      <c r="G480" s="11">
        <v>563915498</v>
      </c>
      <c r="H480" s="11">
        <v>5</v>
      </c>
      <c r="I480" s="11">
        <f>SalesData[[#This Row],[Price]]*SalesData[[#This Row],[Quantity]]</f>
        <v>894.35</v>
      </c>
      <c r="J480" s="11" t="str">
        <f t="shared" si="7"/>
        <v>Low</v>
      </c>
      <c r="K480" s="21" t="s">
        <v>290</v>
      </c>
    </row>
    <row r="481" spans="1:11">
      <c r="A481" s="10">
        <v>43779</v>
      </c>
      <c r="B481" s="11" t="s">
        <v>9</v>
      </c>
      <c r="C481" s="11">
        <v>1004838</v>
      </c>
      <c r="D481" s="11" t="s">
        <v>11</v>
      </c>
      <c r="E481" s="11" t="s">
        <v>47</v>
      </c>
      <c r="F481" s="11">
        <v>178.87</v>
      </c>
      <c r="G481" s="11">
        <v>521122611</v>
      </c>
      <c r="H481" s="11">
        <v>4</v>
      </c>
      <c r="I481" s="11">
        <f>SalesData[[#This Row],[Price]]*SalesData[[#This Row],[Quantity]]</f>
        <v>715.48</v>
      </c>
      <c r="J481" s="11" t="str">
        <f t="shared" si="7"/>
        <v>Low</v>
      </c>
      <c r="K481" s="21" t="s">
        <v>290</v>
      </c>
    </row>
    <row r="482" spans="1:11">
      <c r="A482" s="10">
        <v>43775</v>
      </c>
      <c r="B482" s="11" t="s">
        <v>9</v>
      </c>
      <c r="C482" s="11">
        <v>3600163</v>
      </c>
      <c r="D482" s="11" t="s">
        <v>81</v>
      </c>
      <c r="E482" s="11" t="s">
        <v>82</v>
      </c>
      <c r="F482" s="11">
        <v>177.27</v>
      </c>
      <c r="G482" s="11">
        <v>548450778</v>
      </c>
      <c r="H482" s="11">
        <v>3</v>
      </c>
      <c r="I482" s="11">
        <f>SalesData[[#This Row],[Price]]*SalesData[[#This Row],[Quantity]]</f>
        <v>531.81000000000006</v>
      </c>
      <c r="J482" s="11" t="str">
        <f t="shared" si="7"/>
        <v>Low</v>
      </c>
      <c r="K482" s="21" t="s">
        <v>292</v>
      </c>
    </row>
    <row r="483" spans="1:11">
      <c r="A483" s="10">
        <v>43780</v>
      </c>
      <c r="B483" s="11" t="s">
        <v>9</v>
      </c>
      <c r="C483" s="11">
        <v>3600163</v>
      </c>
      <c r="D483" s="11" t="s">
        <v>81</v>
      </c>
      <c r="E483" s="11" t="s">
        <v>82</v>
      </c>
      <c r="F483" s="11">
        <v>177.27</v>
      </c>
      <c r="G483" s="11">
        <v>548450778</v>
      </c>
      <c r="H483" s="11">
        <v>3</v>
      </c>
      <c r="I483" s="11">
        <f>SalesData[[#This Row],[Price]]*SalesData[[#This Row],[Quantity]]</f>
        <v>531.81000000000006</v>
      </c>
      <c r="J483" s="11" t="str">
        <f t="shared" si="7"/>
        <v>Low</v>
      </c>
      <c r="K483" s="21" t="s">
        <v>292</v>
      </c>
    </row>
    <row r="484" spans="1:11">
      <c r="A484" s="10">
        <v>43778</v>
      </c>
      <c r="B484" s="11" t="s">
        <v>9</v>
      </c>
      <c r="C484" s="11">
        <v>3600163</v>
      </c>
      <c r="D484" s="11" t="s">
        <v>81</v>
      </c>
      <c r="E484" s="11" t="s">
        <v>82</v>
      </c>
      <c r="F484" s="11">
        <v>177.27</v>
      </c>
      <c r="G484" s="11">
        <v>565678398</v>
      </c>
      <c r="H484" s="11">
        <v>5</v>
      </c>
      <c r="I484" s="11">
        <f>SalesData[[#This Row],[Price]]*SalesData[[#This Row],[Quantity]]</f>
        <v>886.35</v>
      </c>
      <c r="J484" s="11" t="str">
        <f t="shared" si="7"/>
        <v>Low</v>
      </c>
      <c r="K484" s="21" t="s">
        <v>292</v>
      </c>
    </row>
    <row r="485" spans="1:11">
      <c r="A485" s="10">
        <v>43773</v>
      </c>
      <c r="B485" s="11" t="s">
        <v>9</v>
      </c>
      <c r="C485" s="11">
        <v>3600163</v>
      </c>
      <c r="D485" s="11" t="s">
        <v>81</v>
      </c>
      <c r="E485" s="11" t="s">
        <v>82</v>
      </c>
      <c r="F485" s="11">
        <v>177.27</v>
      </c>
      <c r="G485" s="11">
        <v>561451996</v>
      </c>
      <c r="H485" s="11">
        <v>4</v>
      </c>
      <c r="I485" s="11">
        <f>SalesData[[#This Row],[Price]]*SalesData[[#This Row],[Quantity]]</f>
        <v>709.08</v>
      </c>
      <c r="J485" s="11" t="str">
        <f t="shared" si="7"/>
        <v>Low</v>
      </c>
      <c r="K485" s="21" t="s">
        <v>292</v>
      </c>
    </row>
    <row r="486" spans="1:11">
      <c r="A486" s="10">
        <v>43782</v>
      </c>
      <c r="B486" s="11" t="s">
        <v>9</v>
      </c>
      <c r="C486" s="11">
        <v>3600163</v>
      </c>
      <c r="D486" s="11" t="s">
        <v>81</v>
      </c>
      <c r="E486" s="11" t="s">
        <v>82</v>
      </c>
      <c r="F486" s="11">
        <v>177.27</v>
      </c>
      <c r="G486" s="11">
        <v>564677266</v>
      </c>
      <c r="H486" s="11">
        <v>4</v>
      </c>
      <c r="I486" s="11">
        <f>SalesData[[#This Row],[Price]]*SalesData[[#This Row],[Quantity]]</f>
        <v>709.08</v>
      </c>
      <c r="J486" s="11" t="str">
        <f t="shared" si="7"/>
        <v>Low</v>
      </c>
      <c r="K486" s="21" t="s">
        <v>292</v>
      </c>
    </row>
    <row r="487" spans="1:11">
      <c r="A487" s="10">
        <v>43770</v>
      </c>
      <c r="B487" s="11" t="s">
        <v>9</v>
      </c>
      <c r="C487" s="11">
        <v>13201002</v>
      </c>
      <c r="D487" s="11" t="s">
        <v>10</v>
      </c>
      <c r="E487" s="11" t="s">
        <v>62</v>
      </c>
      <c r="F487" s="11">
        <v>176.04</v>
      </c>
      <c r="G487" s="11">
        <v>512878430</v>
      </c>
      <c r="H487" s="11">
        <v>5</v>
      </c>
      <c r="I487" s="11">
        <f>SalesData[[#This Row],[Price]]*SalesData[[#This Row],[Quantity]]</f>
        <v>880.19999999999993</v>
      </c>
      <c r="J487" s="11" t="str">
        <f t="shared" si="7"/>
        <v>Low</v>
      </c>
      <c r="K487" s="21" t="s">
        <v>293</v>
      </c>
    </row>
    <row r="488" spans="1:11">
      <c r="A488" s="10">
        <v>43774</v>
      </c>
      <c r="B488" s="11" t="s">
        <v>9</v>
      </c>
      <c r="C488" s="11">
        <v>22700078</v>
      </c>
      <c r="D488" s="11" t="s">
        <v>235</v>
      </c>
      <c r="E488" s="11" t="s">
        <v>66</v>
      </c>
      <c r="F488" s="11">
        <v>175.04</v>
      </c>
      <c r="G488" s="11">
        <v>563362800</v>
      </c>
      <c r="H488" s="11">
        <v>3</v>
      </c>
      <c r="I488" s="11">
        <f>SalesData[[#This Row],[Price]]*SalesData[[#This Row],[Quantity]]</f>
        <v>525.12</v>
      </c>
      <c r="J488" s="11" t="str">
        <f t="shared" si="7"/>
        <v>Low</v>
      </c>
      <c r="K488" s="21" t="s">
        <v>235</v>
      </c>
    </row>
    <row r="489" spans="1:11">
      <c r="A489" s="10">
        <v>43775</v>
      </c>
      <c r="B489" s="11" t="s">
        <v>9</v>
      </c>
      <c r="C489" s="11">
        <v>10501364</v>
      </c>
      <c r="D489" s="11" t="s">
        <v>235</v>
      </c>
      <c r="E489" s="11" t="s">
        <v>178</v>
      </c>
      <c r="F489" s="11">
        <v>175.01</v>
      </c>
      <c r="G489" s="11">
        <v>566021291</v>
      </c>
      <c r="H489" s="11">
        <v>1</v>
      </c>
      <c r="I489" s="11">
        <f>SalesData[[#This Row],[Price]]*SalesData[[#This Row],[Quantity]]</f>
        <v>175.01</v>
      </c>
      <c r="J489" s="11" t="str">
        <f t="shared" si="7"/>
        <v>Low</v>
      </c>
      <c r="K489" s="21" t="s">
        <v>235</v>
      </c>
    </row>
    <row r="490" spans="1:11">
      <c r="A490" s="10">
        <v>43783</v>
      </c>
      <c r="B490" s="11" t="s">
        <v>9</v>
      </c>
      <c r="C490" s="11">
        <v>17301496</v>
      </c>
      <c r="D490" s="11" t="s">
        <v>235</v>
      </c>
      <c r="E490" s="11" t="s">
        <v>71</v>
      </c>
      <c r="F490" s="11">
        <v>172.46</v>
      </c>
      <c r="G490" s="11">
        <v>566289907</v>
      </c>
      <c r="H490" s="11">
        <v>3</v>
      </c>
      <c r="I490" s="11">
        <f>SalesData[[#This Row],[Price]]*SalesData[[#This Row],[Quantity]]</f>
        <v>517.38</v>
      </c>
      <c r="J490" s="11" t="str">
        <f t="shared" si="7"/>
        <v>Low</v>
      </c>
      <c r="K490" s="21" t="s">
        <v>235</v>
      </c>
    </row>
    <row r="491" spans="1:11">
      <c r="A491" s="10">
        <v>43777</v>
      </c>
      <c r="B491" s="11" t="s">
        <v>9</v>
      </c>
      <c r="C491" s="11">
        <v>26200289</v>
      </c>
      <c r="D491" s="11" t="s">
        <v>235</v>
      </c>
      <c r="E491" s="11" t="s">
        <v>235</v>
      </c>
      <c r="F491" s="11">
        <v>172.46</v>
      </c>
      <c r="G491" s="11">
        <v>541860342</v>
      </c>
      <c r="H491" s="11">
        <v>5</v>
      </c>
      <c r="I491" s="11">
        <f>SalesData[[#This Row],[Price]]*SalesData[[#This Row],[Quantity]]</f>
        <v>862.30000000000007</v>
      </c>
      <c r="J491" s="11" t="str">
        <f t="shared" si="7"/>
        <v>Low</v>
      </c>
      <c r="K491" s="21" t="s">
        <v>235</v>
      </c>
    </row>
    <row r="492" spans="1:11">
      <c r="A492" s="10">
        <v>43775</v>
      </c>
      <c r="B492" s="11" t="s">
        <v>9</v>
      </c>
      <c r="C492" s="11">
        <v>1004836</v>
      </c>
      <c r="D492" s="11" t="s">
        <v>11</v>
      </c>
      <c r="E492" s="11" t="s">
        <v>13</v>
      </c>
      <c r="F492" s="11">
        <v>229.9</v>
      </c>
      <c r="G492" s="11">
        <v>533687444</v>
      </c>
      <c r="H492" s="11">
        <v>5</v>
      </c>
      <c r="I492" s="11">
        <f>SalesData[[#This Row],[Price]]*SalesData[[#This Row],[Quantity]]</f>
        <v>1149.5</v>
      </c>
      <c r="J492" s="11" t="str">
        <f t="shared" si="7"/>
        <v>Low</v>
      </c>
      <c r="K492" s="21" t="s">
        <v>290</v>
      </c>
    </row>
    <row r="493" spans="1:11">
      <c r="A493" s="10">
        <v>43779</v>
      </c>
      <c r="B493" s="11" t="s">
        <v>9</v>
      </c>
      <c r="C493" s="11">
        <v>1004836</v>
      </c>
      <c r="D493" s="11" t="s">
        <v>11</v>
      </c>
      <c r="E493" s="11" t="s">
        <v>13</v>
      </c>
      <c r="F493" s="11">
        <v>229.9</v>
      </c>
      <c r="G493" s="11">
        <v>514480552</v>
      </c>
      <c r="H493" s="11">
        <v>4</v>
      </c>
      <c r="I493" s="11">
        <f>SalesData[[#This Row],[Price]]*SalesData[[#This Row],[Quantity]]</f>
        <v>919.6</v>
      </c>
      <c r="J493" s="11" t="str">
        <f t="shared" si="7"/>
        <v>Low</v>
      </c>
      <c r="K493" s="21" t="s">
        <v>290</v>
      </c>
    </row>
    <row r="494" spans="1:11">
      <c r="A494" s="10">
        <v>43780</v>
      </c>
      <c r="B494" s="11" t="s">
        <v>9</v>
      </c>
      <c r="C494" s="11">
        <v>1004836</v>
      </c>
      <c r="D494" s="11" t="s">
        <v>11</v>
      </c>
      <c r="E494" s="11" t="s">
        <v>13</v>
      </c>
      <c r="F494" s="11">
        <v>229.9</v>
      </c>
      <c r="G494" s="11">
        <v>528237371</v>
      </c>
      <c r="H494" s="11">
        <v>4</v>
      </c>
      <c r="I494" s="11">
        <f>SalesData[[#This Row],[Price]]*SalesData[[#This Row],[Quantity]]</f>
        <v>919.6</v>
      </c>
      <c r="J494" s="11" t="str">
        <f t="shared" si="7"/>
        <v>Low</v>
      </c>
      <c r="K494" s="21" t="s">
        <v>290</v>
      </c>
    </row>
    <row r="495" spans="1:11">
      <c r="A495" s="10">
        <v>43783</v>
      </c>
      <c r="B495" s="11" t="s">
        <v>9</v>
      </c>
      <c r="C495" s="11">
        <v>1004836</v>
      </c>
      <c r="D495" s="11" t="s">
        <v>11</v>
      </c>
      <c r="E495" s="11" t="s">
        <v>13</v>
      </c>
      <c r="F495" s="11">
        <v>229.9</v>
      </c>
      <c r="G495" s="11">
        <v>513114259</v>
      </c>
      <c r="H495" s="11">
        <v>4</v>
      </c>
      <c r="I495" s="11">
        <f>SalesData[[#This Row],[Price]]*SalesData[[#This Row],[Quantity]]</f>
        <v>919.6</v>
      </c>
      <c r="J495" s="11" t="str">
        <f t="shared" si="7"/>
        <v>Low</v>
      </c>
      <c r="K495" s="21" t="s">
        <v>290</v>
      </c>
    </row>
    <row r="496" spans="1:11">
      <c r="A496" s="10">
        <v>43777</v>
      </c>
      <c r="B496" s="11" t="s">
        <v>9</v>
      </c>
      <c r="C496" s="11">
        <v>1004836</v>
      </c>
      <c r="D496" s="11" t="s">
        <v>11</v>
      </c>
      <c r="E496" s="11" t="s">
        <v>13</v>
      </c>
      <c r="F496" s="11">
        <v>229.9</v>
      </c>
      <c r="G496" s="11">
        <v>512527352</v>
      </c>
      <c r="H496" s="11">
        <v>2</v>
      </c>
      <c r="I496" s="11">
        <f>SalesData[[#This Row],[Price]]*SalesData[[#This Row],[Quantity]]</f>
        <v>459.8</v>
      </c>
      <c r="J496" s="11" t="str">
        <f t="shared" si="7"/>
        <v>Low</v>
      </c>
      <c r="K496" s="21" t="s">
        <v>290</v>
      </c>
    </row>
    <row r="497" spans="1:11">
      <c r="A497" s="10">
        <v>43776</v>
      </c>
      <c r="B497" s="11" t="s">
        <v>9</v>
      </c>
      <c r="C497" s="11">
        <v>1004836</v>
      </c>
      <c r="D497" s="11" t="s">
        <v>11</v>
      </c>
      <c r="E497" s="11" t="s">
        <v>13</v>
      </c>
      <c r="F497" s="11">
        <v>229.9</v>
      </c>
      <c r="G497" s="11">
        <v>545571328</v>
      </c>
      <c r="H497" s="11">
        <v>4</v>
      </c>
      <c r="I497" s="11">
        <f>SalesData[[#This Row],[Price]]*SalesData[[#This Row],[Quantity]]</f>
        <v>919.6</v>
      </c>
      <c r="J497" s="11" t="str">
        <f t="shared" si="7"/>
        <v>Low</v>
      </c>
      <c r="K497" s="21" t="s">
        <v>290</v>
      </c>
    </row>
    <row r="498" spans="1:11">
      <c r="A498" s="10">
        <v>43784</v>
      </c>
      <c r="B498" s="11" t="s">
        <v>9</v>
      </c>
      <c r="C498" s="11">
        <v>1004836</v>
      </c>
      <c r="D498" s="11" t="s">
        <v>11</v>
      </c>
      <c r="E498" s="11" t="s">
        <v>13</v>
      </c>
      <c r="F498" s="11">
        <v>229.9</v>
      </c>
      <c r="G498" s="11">
        <v>566300169</v>
      </c>
      <c r="H498" s="11">
        <v>3</v>
      </c>
      <c r="I498" s="11">
        <f>SalesData[[#This Row],[Price]]*SalesData[[#This Row],[Quantity]]</f>
        <v>689.7</v>
      </c>
      <c r="J498" s="11" t="str">
        <f t="shared" si="7"/>
        <v>Low</v>
      </c>
      <c r="K498" s="21" t="s">
        <v>290</v>
      </c>
    </row>
    <row r="499" spans="1:11">
      <c r="A499" s="10">
        <v>43778</v>
      </c>
      <c r="B499" s="11" t="s">
        <v>9</v>
      </c>
      <c r="C499" s="11">
        <v>1004836</v>
      </c>
      <c r="D499" s="11" t="s">
        <v>11</v>
      </c>
      <c r="E499" s="11" t="s">
        <v>13</v>
      </c>
      <c r="F499" s="11">
        <v>229.9</v>
      </c>
      <c r="G499" s="11">
        <v>543672320</v>
      </c>
      <c r="H499" s="11">
        <v>3</v>
      </c>
      <c r="I499" s="11">
        <f>SalesData[[#This Row],[Price]]*SalesData[[#This Row],[Quantity]]</f>
        <v>689.7</v>
      </c>
      <c r="J499" s="11" t="str">
        <f t="shared" si="7"/>
        <v>Low</v>
      </c>
      <c r="K499" s="21" t="s">
        <v>290</v>
      </c>
    </row>
    <row r="500" spans="1:11">
      <c r="A500" s="10">
        <v>43783</v>
      </c>
      <c r="B500" s="11" t="s">
        <v>9</v>
      </c>
      <c r="C500" s="11">
        <v>1004836</v>
      </c>
      <c r="D500" s="11" t="s">
        <v>11</v>
      </c>
      <c r="E500" s="11" t="s">
        <v>13</v>
      </c>
      <c r="F500" s="11">
        <v>229.9</v>
      </c>
      <c r="G500" s="11">
        <v>563293492</v>
      </c>
      <c r="H500" s="11">
        <v>2</v>
      </c>
      <c r="I500" s="11">
        <f>SalesData[[#This Row],[Price]]*SalesData[[#This Row],[Quantity]]</f>
        <v>459.8</v>
      </c>
      <c r="J500" s="11" t="str">
        <f t="shared" si="7"/>
        <v>Low</v>
      </c>
      <c r="K500" s="21" t="s">
        <v>290</v>
      </c>
    </row>
    <row r="501" spans="1:11">
      <c r="A501" s="10">
        <v>43782</v>
      </c>
      <c r="B501" s="11" t="s">
        <v>9</v>
      </c>
      <c r="C501" s="11">
        <v>1004836</v>
      </c>
      <c r="D501" s="11" t="s">
        <v>11</v>
      </c>
      <c r="E501" s="11" t="s">
        <v>13</v>
      </c>
      <c r="F501" s="11">
        <v>229.9</v>
      </c>
      <c r="G501" s="11">
        <v>566304290</v>
      </c>
      <c r="H501" s="11">
        <v>5</v>
      </c>
      <c r="I501" s="11">
        <f>SalesData[[#This Row],[Price]]*SalesData[[#This Row],[Quantity]]</f>
        <v>1149.5</v>
      </c>
      <c r="J501" s="11" t="str">
        <f t="shared" si="7"/>
        <v>Low</v>
      </c>
      <c r="K501" s="21" t="s">
        <v>290</v>
      </c>
    </row>
    <row r="502" spans="1:11">
      <c r="A502" s="10">
        <v>43780</v>
      </c>
      <c r="B502" s="11" t="s">
        <v>9</v>
      </c>
      <c r="C502" s="11">
        <v>1004835</v>
      </c>
      <c r="D502" s="11" t="s">
        <v>11</v>
      </c>
      <c r="E502" s="11" t="s">
        <v>13</v>
      </c>
      <c r="F502" s="11">
        <v>223.95</v>
      </c>
      <c r="G502" s="11">
        <v>566282354</v>
      </c>
      <c r="H502" s="11">
        <v>4</v>
      </c>
      <c r="I502" s="11">
        <f>SalesData[[#This Row],[Price]]*SalesData[[#This Row],[Quantity]]</f>
        <v>895.8</v>
      </c>
      <c r="J502" s="11" t="str">
        <f t="shared" si="7"/>
        <v>Low</v>
      </c>
      <c r="K502" s="21" t="s">
        <v>290</v>
      </c>
    </row>
    <row r="503" spans="1:11">
      <c r="A503" s="10">
        <v>43781</v>
      </c>
      <c r="B503" s="11" t="s">
        <v>9</v>
      </c>
      <c r="C503" s="11">
        <v>1004835</v>
      </c>
      <c r="D503" s="11" t="s">
        <v>11</v>
      </c>
      <c r="E503" s="11" t="s">
        <v>13</v>
      </c>
      <c r="F503" s="11">
        <v>223.95</v>
      </c>
      <c r="G503" s="11">
        <v>516359563</v>
      </c>
      <c r="H503" s="11">
        <v>2</v>
      </c>
      <c r="I503" s="11">
        <f>SalesData[[#This Row],[Price]]*SalesData[[#This Row],[Quantity]]</f>
        <v>447.9</v>
      </c>
      <c r="J503" s="11" t="str">
        <f t="shared" si="7"/>
        <v>Low</v>
      </c>
      <c r="K503" s="21" t="s">
        <v>290</v>
      </c>
    </row>
    <row r="504" spans="1:11">
      <c r="A504" s="10">
        <v>43780</v>
      </c>
      <c r="B504" s="11" t="s">
        <v>9</v>
      </c>
      <c r="C504" s="11">
        <v>1004835</v>
      </c>
      <c r="D504" s="11" t="s">
        <v>11</v>
      </c>
      <c r="E504" s="11" t="s">
        <v>13</v>
      </c>
      <c r="F504" s="11">
        <v>223.95</v>
      </c>
      <c r="G504" s="11">
        <v>525599019</v>
      </c>
      <c r="H504" s="11">
        <v>1</v>
      </c>
      <c r="I504" s="11">
        <f>SalesData[[#This Row],[Price]]*SalesData[[#This Row],[Quantity]]</f>
        <v>223.95</v>
      </c>
      <c r="J504" s="11" t="str">
        <f t="shared" si="7"/>
        <v>Low</v>
      </c>
      <c r="K504" s="21" t="s">
        <v>290</v>
      </c>
    </row>
    <row r="505" spans="1:11">
      <c r="A505" s="10">
        <v>43780</v>
      </c>
      <c r="B505" s="11" t="s">
        <v>9</v>
      </c>
      <c r="C505" s="11">
        <v>1004835</v>
      </c>
      <c r="D505" s="11" t="s">
        <v>11</v>
      </c>
      <c r="E505" s="11" t="s">
        <v>13</v>
      </c>
      <c r="F505" s="11">
        <v>223.95</v>
      </c>
      <c r="G505" s="11">
        <v>541860342</v>
      </c>
      <c r="H505" s="11">
        <v>4</v>
      </c>
      <c r="I505" s="11">
        <f>SalesData[[#This Row],[Price]]*SalesData[[#This Row],[Quantity]]</f>
        <v>895.8</v>
      </c>
      <c r="J505" s="11" t="str">
        <f t="shared" si="7"/>
        <v>Low</v>
      </c>
      <c r="K505" s="21" t="s">
        <v>290</v>
      </c>
    </row>
    <row r="506" spans="1:11">
      <c r="A506" s="10">
        <v>43774</v>
      </c>
      <c r="B506" s="11" t="s">
        <v>9</v>
      </c>
      <c r="C506" s="11">
        <v>1004835</v>
      </c>
      <c r="D506" s="11" t="s">
        <v>11</v>
      </c>
      <c r="E506" s="11" t="s">
        <v>13</v>
      </c>
      <c r="F506" s="11">
        <v>223.95</v>
      </c>
      <c r="G506" s="11">
        <v>517060786</v>
      </c>
      <c r="H506" s="11">
        <v>3</v>
      </c>
      <c r="I506" s="11">
        <f>SalesData[[#This Row],[Price]]*SalesData[[#This Row],[Quantity]]</f>
        <v>671.84999999999991</v>
      </c>
      <c r="J506" s="11" t="str">
        <f t="shared" si="7"/>
        <v>Low</v>
      </c>
      <c r="K506" s="21" t="s">
        <v>290</v>
      </c>
    </row>
    <row r="507" spans="1:11">
      <c r="A507" s="10">
        <v>43781</v>
      </c>
      <c r="B507" s="11" t="s">
        <v>9</v>
      </c>
      <c r="C507" s="11">
        <v>1004750</v>
      </c>
      <c r="D507" s="11" t="s">
        <v>11</v>
      </c>
      <c r="E507" s="11" t="s">
        <v>13</v>
      </c>
      <c r="F507" s="11">
        <v>195.06</v>
      </c>
      <c r="G507" s="11">
        <v>566283682</v>
      </c>
      <c r="H507" s="11">
        <v>4</v>
      </c>
      <c r="I507" s="11">
        <f>SalesData[[#This Row],[Price]]*SalesData[[#This Row],[Quantity]]</f>
        <v>780.24</v>
      </c>
      <c r="J507" s="11" t="str">
        <f t="shared" si="7"/>
        <v>Low</v>
      </c>
      <c r="K507" s="21" t="s">
        <v>290</v>
      </c>
    </row>
    <row r="508" spans="1:11">
      <c r="A508" s="10">
        <v>43775</v>
      </c>
      <c r="B508" s="11" t="s">
        <v>9</v>
      </c>
      <c r="C508" s="11">
        <v>1004750</v>
      </c>
      <c r="D508" s="11" t="s">
        <v>11</v>
      </c>
      <c r="E508" s="11" t="s">
        <v>13</v>
      </c>
      <c r="F508" s="11">
        <v>195.06</v>
      </c>
      <c r="G508" s="11">
        <v>566095126</v>
      </c>
      <c r="H508" s="11">
        <v>1</v>
      </c>
      <c r="I508" s="11">
        <f>SalesData[[#This Row],[Price]]*SalesData[[#This Row],[Quantity]]</f>
        <v>195.06</v>
      </c>
      <c r="J508" s="11" t="str">
        <f t="shared" si="7"/>
        <v>Low</v>
      </c>
      <c r="K508" s="21" t="s">
        <v>290</v>
      </c>
    </row>
    <row r="509" spans="1:11">
      <c r="A509" s="10">
        <v>43776</v>
      </c>
      <c r="B509" s="11" t="s">
        <v>9</v>
      </c>
      <c r="C509" s="11">
        <v>1004750</v>
      </c>
      <c r="D509" s="11" t="s">
        <v>11</v>
      </c>
      <c r="E509" s="11" t="s">
        <v>13</v>
      </c>
      <c r="F509" s="11">
        <v>195.06</v>
      </c>
      <c r="G509" s="11">
        <v>566025328</v>
      </c>
      <c r="H509" s="11">
        <v>3</v>
      </c>
      <c r="I509" s="11">
        <f>SalesData[[#This Row],[Price]]*SalesData[[#This Row],[Quantity]]</f>
        <v>585.18000000000006</v>
      </c>
      <c r="J509" s="11" t="str">
        <f t="shared" si="7"/>
        <v>Low</v>
      </c>
      <c r="K509" s="21" t="s">
        <v>290</v>
      </c>
    </row>
    <row r="510" spans="1:11">
      <c r="A510" s="10">
        <v>43782</v>
      </c>
      <c r="B510" s="11" t="s">
        <v>9</v>
      </c>
      <c r="C510" s="11">
        <v>17301495</v>
      </c>
      <c r="D510" s="11" t="s">
        <v>235</v>
      </c>
      <c r="E510" s="11" t="s">
        <v>71</v>
      </c>
      <c r="F510" s="11">
        <v>171.17</v>
      </c>
      <c r="G510" s="11">
        <v>532234249</v>
      </c>
      <c r="H510" s="11">
        <v>1</v>
      </c>
      <c r="I510" s="11">
        <f>SalesData[[#This Row],[Price]]*SalesData[[#This Row],[Quantity]]</f>
        <v>171.17</v>
      </c>
      <c r="J510" s="11" t="str">
        <f t="shared" si="7"/>
        <v>Low</v>
      </c>
      <c r="K510" s="21" t="s">
        <v>235</v>
      </c>
    </row>
    <row r="511" spans="1:11">
      <c r="A511" s="10">
        <v>43782</v>
      </c>
      <c r="B511" s="11" t="s">
        <v>9</v>
      </c>
      <c r="C511" s="11">
        <v>2601106</v>
      </c>
      <c r="D511" s="11" t="s">
        <v>235</v>
      </c>
      <c r="E511" s="11" t="s">
        <v>68</v>
      </c>
      <c r="F511" s="11">
        <v>169.81</v>
      </c>
      <c r="G511" s="11">
        <v>533189542</v>
      </c>
      <c r="H511" s="11">
        <v>2</v>
      </c>
      <c r="I511" s="11">
        <f>SalesData[[#This Row],[Price]]*SalesData[[#This Row],[Quantity]]</f>
        <v>339.62</v>
      </c>
      <c r="J511" s="11" t="str">
        <f t="shared" si="7"/>
        <v>Low</v>
      </c>
      <c r="K511" s="21" t="s">
        <v>235</v>
      </c>
    </row>
    <row r="512" spans="1:11">
      <c r="A512" s="10">
        <v>43780</v>
      </c>
      <c r="B512" s="11" t="s">
        <v>9</v>
      </c>
      <c r="C512" s="11">
        <v>5100722</v>
      </c>
      <c r="D512" s="11" t="s">
        <v>45</v>
      </c>
      <c r="E512" s="11" t="s">
        <v>60</v>
      </c>
      <c r="F512" s="11">
        <v>169.63</v>
      </c>
      <c r="G512" s="11">
        <v>551573903</v>
      </c>
      <c r="H512" s="11">
        <v>5</v>
      </c>
      <c r="I512" s="11">
        <f>SalesData[[#This Row],[Price]]*SalesData[[#This Row],[Quantity]]</f>
        <v>848.15</v>
      </c>
      <c r="J512" s="11" t="str">
        <f t="shared" si="7"/>
        <v>Low</v>
      </c>
      <c r="K512" s="21" t="s">
        <v>290</v>
      </c>
    </row>
    <row r="513" spans="1:11">
      <c r="A513" s="10">
        <v>43778</v>
      </c>
      <c r="B513" s="11" t="s">
        <v>9</v>
      </c>
      <c r="C513" s="11">
        <v>5100722</v>
      </c>
      <c r="D513" s="11" t="s">
        <v>45</v>
      </c>
      <c r="E513" s="11" t="s">
        <v>60</v>
      </c>
      <c r="F513" s="11">
        <v>169.63</v>
      </c>
      <c r="G513" s="11">
        <v>551573903</v>
      </c>
      <c r="H513" s="11">
        <v>1</v>
      </c>
      <c r="I513" s="11">
        <f>SalesData[[#This Row],[Price]]*SalesData[[#This Row],[Quantity]]</f>
        <v>169.63</v>
      </c>
      <c r="J513" s="11" t="str">
        <f t="shared" si="7"/>
        <v>Low</v>
      </c>
      <c r="K513" s="21" t="s">
        <v>290</v>
      </c>
    </row>
    <row r="514" spans="1:11">
      <c r="A514" s="10">
        <v>43774</v>
      </c>
      <c r="B514" s="11" t="s">
        <v>9</v>
      </c>
      <c r="C514" s="11">
        <v>13101488</v>
      </c>
      <c r="D514" s="11" t="s">
        <v>235</v>
      </c>
      <c r="E514" s="11" t="s">
        <v>188</v>
      </c>
      <c r="F514" s="11">
        <v>169.37</v>
      </c>
      <c r="G514" s="11">
        <v>512656415</v>
      </c>
      <c r="H514" s="11">
        <v>3</v>
      </c>
      <c r="I514" s="11">
        <f>SalesData[[#This Row],[Price]]*SalesData[[#This Row],[Quantity]]</f>
        <v>508.11</v>
      </c>
      <c r="J514" s="11" t="str">
        <f t="shared" ref="J514:J577" si="8">IF(F514&lt;500, "Low", IF(F514&lt;1500, "Medium", "High"))</f>
        <v>Low</v>
      </c>
      <c r="K514" s="21" t="s">
        <v>235</v>
      </c>
    </row>
    <row r="515" spans="1:11">
      <c r="A515" s="10">
        <v>43773</v>
      </c>
      <c r="B515" s="11" t="s">
        <v>9</v>
      </c>
      <c r="C515" s="11">
        <v>2800429</v>
      </c>
      <c r="D515" s="11" t="s">
        <v>100</v>
      </c>
      <c r="E515" s="11" t="s">
        <v>101</v>
      </c>
      <c r="F515" s="11">
        <v>168.86</v>
      </c>
      <c r="G515" s="11">
        <v>513474628</v>
      </c>
      <c r="H515" s="11">
        <v>3</v>
      </c>
      <c r="I515" s="11">
        <f>SalesData[[#This Row],[Price]]*SalesData[[#This Row],[Quantity]]</f>
        <v>506.58000000000004</v>
      </c>
      <c r="J515" s="11" t="str">
        <f t="shared" si="8"/>
        <v>Low</v>
      </c>
      <c r="K515" s="21" t="s">
        <v>292</v>
      </c>
    </row>
    <row r="516" spans="1:11">
      <c r="A516" s="10">
        <v>43775</v>
      </c>
      <c r="B516" s="11" t="s">
        <v>9</v>
      </c>
      <c r="C516" s="11">
        <v>26402786</v>
      </c>
      <c r="D516" s="11" t="s">
        <v>235</v>
      </c>
      <c r="E516" s="11" t="s">
        <v>14</v>
      </c>
      <c r="F516" s="11">
        <v>167.31</v>
      </c>
      <c r="G516" s="11">
        <v>518291241</v>
      </c>
      <c r="H516" s="11">
        <v>2</v>
      </c>
      <c r="I516" s="11">
        <f>SalesData[[#This Row],[Price]]*SalesData[[#This Row],[Quantity]]</f>
        <v>334.62</v>
      </c>
      <c r="J516" s="11" t="str">
        <f t="shared" si="8"/>
        <v>Low</v>
      </c>
      <c r="K516" s="21" t="s">
        <v>235</v>
      </c>
    </row>
    <row r="517" spans="1:11">
      <c r="A517" s="10">
        <v>43780</v>
      </c>
      <c r="B517" s="11" t="s">
        <v>9</v>
      </c>
      <c r="C517" s="11">
        <v>4000170</v>
      </c>
      <c r="D517" s="11" t="s">
        <v>43</v>
      </c>
      <c r="E517" s="11" t="s">
        <v>44</v>
      </c>
      <c r="F517" s="11">
        <v>167.29</v>
      </c>
      <c r="G517" s="11">
        <v>514101034</v>
      </c>
      <c r="H517" s="11">
        <v>4</v>
      </c>
      <c r="I517" s="11">
        <f>SalesData[[#This Row],[Price]]*SalesData[[#This Row],[Quantity]]</f>
        <v>669.16</v>
      </c>
      <c r="J517" s="11" t="str">
        <f t="shared" si="8"/>
        <v>Low</v>
      </c>
      <c r="K517" s="21" t="s">
        <v>294</v>
      </c>
    </row>
    <row r="518" spans="1:11">
      <c r="A518" s="10">
        <v>43773</v>
      </c>
      <c r="B518" s="11" t="s">
        <v>9</v>
      </c>
      <c r="C518" s="11">
        <v>2900816</v>
      </c>
      <c r="D518" s="11" t="s">
        <v>28</v>
      </c>
      <c r="E518" s="11" t="s">
        <v>29</v>
      </c>
      <c r="F518" s="11">
        <v>167.11</v>
      </c>
      <c r="G518" s="11">
        <v>513451653</v>
      </c>
      <c r="H518" s="11">
        <v>4</v>
      </c>
      <c r="I518" s="11">
        <f>SalesData[[#This Row],[Price]]*SalesData[[#This Row],[Quantity]]</f>
        <v>668.44</v>
      </c>
      <c r="J518" s="11" t="str">
        <f t="shared" si="8"/>
        <v>Low</v>
      </c>
      <c r="K518" s="21" t="s">
        <v>292</v>
      </c>
    </row>
    <row r="519" spans="1:11">
      <c r="A519" s="10">
        <v>43777</v>
      </c>
      <c r="B519" s="11" t="s">
        <v>9</v>
      </c>
      <c r="C519" s="11">
        <v>11500708</v>
      </c>
      <c r="D519" s="11" t="s">
        <v>235</v>
      </c>
      <c r="E519" s="11" t="s">
        <v>39</v>
      </c>
      <c r="F519" s="11">
        <v>167.06</v>
      </c>
      <c r="G519" s="11">
        <v>566302098</v>
      </c>
      <c r="H519" s="11">
        <v>2</v>
      </c>
      <c r="I519" s="11">
        <f>SalesData[[#This Row],[Price]]*SalesData[[#This Row],[Quantity]]</f>
        <v>334.12</v>
      </c>
      <c r="J519" s="11" t="str">
        <f t="shared" si="8"/>
        <v>Low</v>
      </c>
      <c r="K519" s="21" t="s">
        <v>235</v>
      </c>
    </row>
    <row r="520" spans="1:11">
      <c r="A520" s="10">
        <v>43771</v>
      </c>
      <c r="B520" s="11" t="s">
        <v>9</v>
      </c>
      <c r="C520" s="11">
        <v>11500708</v>
      </c>
      <c r="D520" s="11" t="s">
        <v>235</v>
      </c>
      <c r="E520" s="11" t="s">
        <v>39</v>
      </c>
      <c r="F520" s="11">
        <v>167.06</v>
      </c>
      <c r="G520" s="11">
        <v>566302098</v>
      </c>
      <c r="H520" s="11">
        <v>5</v>
      </c>
      <c r="I520" s="11">
        <f>SalesData[[#This Row],[Price]]*SalesData[[#This Row],[Quantity]]</f>
        <v>835.3</v>
      </c>
      <c r="J520" s="11" t="str">
        <f t="shared" si="8"/>
        <v>Low</v>
      </c>
      <c r="K520" s="21" t="s">
        <v>235</v>
      </c>
    </row>
    <row r="521" spans="1:11">
      <c r="A521" s="10">
        <v>43783</v>
      </c>
      <c r="B521" s="11" t="s">
        <v>9</v>
      </c>
      <c r="C521" s="11">
        <v>1004961</v>
      </c>
      <c r="D521" s="11" t="s">
        <v>11</v>
      </c>
      <c r="E521" s="11" t="s">
        <v>47</v>
      </c>
      <c r="F521" s="11">
        <v>166.41</v>
      </c>
      <c r="G521" s="11">
        <v>551099819</v>
      </c>
      <c r="H521" s="11">
        <v>5</v>
      </c>
      <c r="I521" s="11">
        <f>SalesData[[#This Row],[Price]]*SalesData[[#This Row],[Quantity]]</f>
        <v>832.05</v>
      </c>
      <c r="J521" s="11" t="str">
        <f t="shared" si="8"/>
        <v>Low</v>
      </c>
      <c r="K521" s="21" t="s">
        <v>290</v>
      </c>
    </row>
    <row r="522" spans="1:11">
      <c r="A522" s="10">
        <v>43781</v>
      </c>
      <c r="B522" s="11" t="s">
        <v>9</v>
      </c>
      <c r="C522" s="11">
        <v>1004565</v>
      </c>
      <c r="D522" s="11" t="s">
        <v>11</v>
      </c>
      <c r="E522" s="11" t="s">
        <v>60</v>
      </c>
      <c r="F522" s="11">
        <v>164.95</v>
      </c>
      <c r="G522" s="11">
        <v>514925962</v>
      </c>
      <c r="H522" s="11">
        <v>2</v>
      </c>
      <c r="I522" s="11">
        <f>SalesData[[#This Row],[Price]]*SalesData[[#This Row],[Quantity]]</f>
        <v>329.9</v>
      </c>
      <c r="J522" s="11" t="str">
        <f t="shared" si="8"/>
        <v>Low</v>
      </c>
      <c r="K522" s="21" t="s">
        <v>290</v>
      </c>
    </row>
    <row r="523" spans="1:11">
      <c r="A523" s="10">
        <v>43775</v>
      </c>
      <c r="B523" s="11" t="s">
        <v>9</v>
      </c>
      <c r="C523" s="11">
        <v>1004565</v>
      </c>
      <c r="D523" s="11" t="s">
        <v>11</v>
      </c>
      <c r="E523" s="11" t="s">
        <v>60</v>
      </c>
      <c r="F523" s="11">
        <v>164.95</v>
      </c>
      <c r="G523" s="11">
        <v>523893477</v>
      </c>
      <c r="H523" s="11">
        <v>5</v>
      </c>
      <c r="I523" s="11">
        <f>SalesData[[#This Row],[Price]]*SalesData[[#This Row],[Quantity]]</f>
        <v>824.75</v>
      </c>
      <c r="J523" s="11" t="str">
        <f t="shared" si="8"/>
        <v>Low</v>
      </c>
      <c r="K523" s="21" t="s">
        <v>290</v>
      </c>
    </row>
    <row r="524" spans="1:11">
      <c r="A524" s="10">
        <v>43779</v>
      </c>
      <c r="B524" s="11" t="s">
        <v>9</v>
      </c>
      <c r="C524" s="11">
        <v>1004565</v>
      </c>
      <c r="D524" s="11" t="s">
        <v>11</v>
      </c>
      <c r="E524" s="11" t="s">
        <v>60</v>
      </c>
      <c r="F524" s="11">
        <v>164.95</v>
      </c>
      <c r="G524" s="11">
        <v>541368253</v>
      </c>
      <c r="H524" s="11">
        <v>3</v>
      </c>
      <c r="I524" s="11">
        <f>SalesData[[#This Row],[Price]]*SalesData[[#This Row],[Quantity]]</f>
        <v>494.84999999999997</v>
      </c>
      <c r="J524" s="11" t="str">
        <f t="shared" si="8"/>
        <v>Low</v>
      </c>
      <c r="K524" s="21" t="s">
        <v>290</v>
      </c>
    </row>
    <row r="525" spans="1:11">
      <c r="A525" s="10">
        <v>43774</v>
      </c>
      <c r="B525" s="11" t="s">
        <v>9</v>
      </c>
      <c r="C525" s="11">
        <v>1004565</v>
      </c>
      <c r="D525" s="11" t="s">
        <v>11</v>
      </c>
      <c r="E525" s="11" t="s">
        <v>60</v>
      </c>
      <c r="F525" s="11">
        <v>164.95</v>
      </c>
      <c r="G525" s="11">
        <v>530337676</v>
      </c>
      <c r="H525" s="11">
        <v>2</v>
      </c>
      <c r="I525" s="11">
        <f>SalesData[[#This Row],[Price]]*SalesData[[#This Row],[Quantity]]</f>
        <v>329.9</v>
      </c>
      <c r="J525" s="11" t="str">
        <f t="shared" si="8"/>
        <v>Low</v>
      </c>
      <c r="K525" s="21" t="s">
        <v>290</v>
      </c>
    </row>
    <row r="526" spans="1:11">
      <c r="A526" s="10">
        <v>43781</v>
      </c>
      <c r="B526" s="11" t="s">
        <v>9</v>
      </c>
      <c r="C526" s="11">
        <v>1004565</v>
      </c>
      <c r="D526" s="11" t="s">
        <v>11</v>
      </c>
      <c r="E526" s="11" t="s">
        <v>60</v>
      </c>
      <c r="F526" s="11">
        <v>164.95</v>
      </c>
      <c r="G526" s="11">
        <v>530337676</v>
      </c>
      <c r="H526" s="11">
        <v>2</v>
      </c>
      <c r="I526" s="11">
        <f>SalesData[[#This Row],[Price]]*SalesData[[#This Row],[Quantity]]</f>
        <v>329.9</v>
      </c>
      <c r="J526" s="11" t="str">
        <f t="shared" si="8"/>
        <v>Low</v>
      </c>
      <c r="K526" s="21" t="s">
        <v>290</v>
      </c>
    </row>
    <row r="527" spans="1:11">
      <c r="A527" s="10">
        <v>43778</v>
      </c>
      <c r="B527" s="11" t="s">
        <v>9</v>
      </c>
      <c r="C527" s="11">
        <v>13300069</v>
      </c>
      <c r="D527" s="11" t="s">
        <v>235</v>
      </c>
      <c r="E527" s="11" t="s">
        <v>235</v>
      </c>
      <c r="F527" s="11">
        <v>164.71</v>
      </c>
      <c r="G527" s="11">
        <v>537129970</v>
      </c>
      <c r="H527" s="11">
        <v>4</v>
      </c>
      <c r="I527" s="11">
        <f>SalesData[[#This Row],[Price]]*SalesData[[#This Row],[Quantity]]</f>
        <v>658.84</v>
      </c>
      <c r="J527" s="11" t="str">
        <f t="shared" si="8"/>
        <v>Low</v>
      </c>
      <c r="K527" s="21" t="s">
        <v>235</v>
      </c>
    </row>
    <row r="528" spans="1:11">
      <c r="A528" s="10">
        <v>43780</v>
      </c>
      <c r="B528" s="11" t="s">
        <v>9</v>
      </c>
      <c r="C528" s="11">
        <v>1004750</v>
      </c>
      <c r="D528" s="11" t="s">
        <v>11</v>
      </c>
      <c r="E528" s="11" t="s">
        <v>13</v>
      </c>
      <c r="F528" s="11">
        <v>195.06</v>
      </c>
      <c r="G528" s="11">
        <v>566298201</v>
      </c>
      <c r="H528" s="11">
        <v>2</v>
      </c>
      <c r="I528" s="11">
        <f>SalesData[[#This Row],[Price]]*SalesData[[#This Row],[Quantity]]</f>
        <v>390.12</v>
      </c>
      <c r="J528" s="11" t="str">
        <f t="shared" si="8"/>
        <v>Low</v>
      </c>
      <c r="K528" s="21" t="s">
        <v>290</v>
      </c>
    </row>
    <row r="529" spans="1:11">
      <c r="A529" s="10">
        <v>43780</v>
      </c>
      <c r="B529" s="11" t="s">
        <v>9</v>
      </c>
      <c r="C529" s="11">
        <v>1004750</v>
      </c>
      <c r="D529" s="11" t="s">
        <v>11</v>
      </c>
      <c r="E529" s="11" t="s">
        <v>13</v>
      </c>
      <c r="F529" s="11">
        <v>195.06</v>
      </c>
      <c r="G529" s="11">
        <v>557760558</v>
      </c>
      <c r="H529" s="11">
        <v>3</v>
      </c>
      <c r="I529" s="11">
        <f>SalesData[[#This Row],[Price]]*SalesData[[#This Row],[Quantity]]</f>
        <v>585.18000000000006</v>
      </c>
      <c r="J529" s="11" t="str">
        <f t="shared" si="8"/>
        <v>Low</v>
      </c>
      <c r="K529" s="21" t="s">
        <v>290</v>
      </c>
    </row>
    <row r="530" spans="1:11">
      <c r="A530" s="10">
        <v>43775</v>
      </c>
      <c r="B530" s="11" t="s">
        <v>9</v>
      </c>
      <c r="C530" s="11">
        <v>1004750</v>
      </c>
      <c r="D530" s="11" t="s">
        <v>11</v>
      </c>
      <c r="E530" s="11" t="s">
        <v>13</v>
      </c>
      <c r="F530" s="11">
        <v>195.06</v>
      </c>
      <c r="G530" s="11">
        <v>557760558</v>
      </c>
      <c r="H530" s="11">
        <v>3</v>
      </c>
      <c r="I530" s="11">
        <f>SalesData[[#This Row],[Price]]*SalesData[[#This Row],[Quantity]]</f>
        <v>585.18000000000006</v>
      </c>
      <c r="J530" s="11" t="str">
        <f t="shared" si="8"/>
        <v>Low</v>
      </c>
      <c r="K530" s="21" t="s">
        <v>290</v>
      </c>
    </row>
    <row r="531" spans="1:11">
      <c r="A531" s="10">
        <v>43773</v>
      </c>
      <c r="B531" s="11" t="s">
        <v>9</v>
      </c>
      <c r="C531" s="11">
        <v>1005211</v>
      </c>
      <c r="D531" s="11" t="s">
        <v>11</v>
      </c>
      <c r="E531" s="11" t="s">
        <v>13</v>
      </c>
      <c r="F531" s="11">
        <v>193.26</v>
      </c>
      <c r="G531" s="11">
        <v>566293151</v>
      </c>
      <c r="H531" s="11">
        <v>4</v>
      </c>
      <c r="I531" s="11">
        <f>SalesData[[#This Row],[Price]]*SalesData[[#This Row],[Quantity]]</f>
        <v>773.04</v>
      </c>
      <c r="J531" s="11" t="str">
        <f t="shared" si="8"/>
        <v>Low</v>
      </c>
      <c r="K531" s="21" t="s">
        <v>290</v>
      </c>
    </row>
    <row r="532" spans="1:11">
      <c r="A532" s="10">
        <v>43783</v>
      </c>
      <c r="B532" s="11" t="s">
        <v>9</v>
      </c>
      <c r="C532" s="11">
        <v>1004833</v>
      </c>
      <c r="D532" s="11" t="s">
        <v>11</v>
      </c>
      <c r="E532" s="11" t="s">
        <v>13</v>
      </c>
      <c r="F532" s="11">
        <v>172.23</v>
      </c>
      <c r="G532" s="11">
        <v>554096532</v>
      </c>
      <c r="H532" s="11">
        <v>3</v>
      </c>
      <c r="I532" s="11">
        <f>SalesData[[#This Row],[Price]]*SalesData[[#This Row],[Quantity]]</f>
        <v>516.68999999999994</v>
      </c>
      <c r="J532" s="11" t="str">
        <f t="shared" si="8"/>
        <v>Low</v>
      </c>
      <c r="K532" s="21" t="s">
        <v>290</v>
      </c>
    </row>
    <row r="533" spans="1:11">
      <c r="A533" s="10">
        <v>43783</v>
      </c>
      <c r="B533" s="11" t="s">
        <v>9</v>
      </c>
      <c r="C533" s="11">
        <v>1004833</v>
      </c>
      <c r="D533" s="11" t="s">
        <v>11</v>
      </c>
      <c r="E533" s="11" t="s">
        <v>13</v>
      </c>
      <c r="F533" s="11">
        <v>172.23</v>
      </c>
      <c r="G533" s="11">
        <v>543264125</v>
      </c>
      <c r="H533" s="11">
        <v>5</v>
      </c>
      <c r="I533" s="11">
        <f>SalesData[[#This Row],[Price]]*SalesData[[#This Row],[Quantity]]</f>
        <v>861.15</v>
      </c>
      <c r="J533" s="11" t="str">
        <f t="shared" si="8"/>
        <v>Low</v>
      </c>
      <c r="K533" s="21" t="s">
        <v>290</v>
      </c>
    </row>
    <row r="534" spans="1:11">
      <c r="A534" s="10">
        <v>43775</v>
      </c>
      <c r="B534" s="11" t="s">
        <v>9</v>
      </c>
      <c r="C534" s="11">
        <v>1004833</v>
      </c>
      <c r="D534" s="11" t="s">
        <v>11</v>
      </c>
      <c r="E534" s="11" t="s">
        <v>13</v>
      </c>
      <c r="F534" s="11">
        <v>172.23</v>
      </c>
      <c r="G534" s="11">
        <v>564549977</v>
      </c>
      <c r="H534" s="11">
        <v>4</v>
      </c>
      <c r="I534" s="11">
        <f>SalesData[[#This Row],[Price]]*SalesData[[#This Row],[Quantity]]</f>
        <v>688.92</v>
      </c>
      <c r="J534" s="11" t="str">
        <f t="shared" si="8"/>
        <v>Low</v>
      </c>
      <c r="K534" s="21" t="s">
        <v>290</v>
      </c>
    </row>
    <row r="535" spans="1:11">
      <c r="A535" s="10">
        <v>43783</v>
      </c>
      <c r="B535" s="11" t="s">
        <v>9</v>
      </c>
      <c r="C535" s="11">
        <v>1004833</v>
      </c>
      <c r="D535" s="11" t="s">
        <v>11</v>
      </c>
      <c r="E535" s="11" t="s">
        <v>13</v>
      </c>
      <c r="F535" s="11">
        <v>172.23</v>
      </c>
      <c r="G535" s="11">
        <v>542633023</v>
      </c>
      <c r="H535" s="11">
        <v>3</v>
      </c>
      <c r="I535" s="11">
        <f>SalesData[[#This Row],[Price]]*SalesData[[#This Row],[Quantity]]</f>
        <v>516.68999999999994</v>
      </c>
      <c r="J535" s="11" t="str">
        <f t="shared" si="8"/>
        <v>Low</v>
      </c>
      <c r="K535" s="21" t="s">
        <v>290</v>
      </c>
    </row>
    <row r="536" spans="1:11">
      <c r="A536" s="10">
        <v>43774</v>
      </c>
      <c r="B536" s="11" t="s">
        <v>9</v>
      </c>
      <c r="C536" s="11">
        <v>1004833</v>
      </c>
      <c r="D536" s="11" t="s">
        <v>11</v>
      </c>
      <c r="E536" s="11" t="s">
        <v>13</v>
      </c>
      <c r="F536" s="11">
        <v>172.23</v>
      </c>
      <c r="G536" s="11">
        <v>562614956</v>
      </c>
      <c r="H536" s="11">
        <v>1</v>
      </c>
      <c r="I536" s="11">
        <f>SalesData[[#This Row],[Price]]*SalesData[[#This Row],[Quantity]]</f>
        <v>172.23</v>
      </c>
      <c r="J536" s="11" t="str">
        <f t="shared" si="8"/>
        <v>Low</v>
      </c>
      <c r="K536" s="21" t="s">
        <v>290</v>
      </c>
    </row>
    <row r="537" spans="1:11">
      <c r="A537" s="10">
        <v>43776</v>
      </c>
      <c r="B537" s="11" t="s">
        <v>9</v>
      </c>
      <c r="C537" s="11">
        <v>1004833</v>
      </c>
      <c r="D537" s="11" t="s">
        <v>11</v>
      </c>
      <c r="E537" s="11" t="s">
        <v>13</v>
      </c>
      <c r="F537" s="11">
        <v>172.23</v>
      </c>
      <c r="G537" s="11">
        <v>557760558</v>
      </c>
      <c r="H537" s="11">
        <v>5</v>
      </c>
      <c r="I537" s="11">
        <f>SalesData[[#This Row],[Price]]*SalesData[[#This Row],[Quantity]]</f>
        <v>861.15</v>
      </c>
      <c r="J537" s="11" t="str">
        <f t="shared" si="8"/>
        <v>Low</v>
      </c>
      <c r="K537" s="21" t="s">
        <v>290</v>
      </c>
    </row>
    <row r="538" spans="1:11">
      <c r="A538" s="10">
        <v>43784</v>
      </c>
      <c r="B538" s="11" t="s">
        <v>9</v>
      </c>
      <c r="C538" s="11">
        <v>1004833</v>
      </c>
      <c r="D538" s="11" t="s">
        <v>11</v>
      </c>
      <c r="E538" s="11" t="s">
        <v>13</v>
      </c>
      <c r="F538" s="11">
        <v>172.23</v>
      </c>
      <c r="G538" s="11">
        <v>557760558</v>
      </c>
      <c r="H538" s="11">
        <v>2</v>
      </c>
      <c r="I538" s="11">
        <f>SalesData[[#This Row],[Price]]*SalesData[[#This Row],[Quantity]]</f>
        <v>344.46</v>
      </c>
      <c r="J538" s="11" t="str">
        <f t="shared" si="8"/>
        <v>Low</v>
      </c>
      <c r="K538" s="21" t="s">
        <v>290</v>
      </c>
    </row>
    <row r="539" spans="1:11">
      <c r="A539" s="10">
        <v>43770</v>
      </c>
      <c r="B539" s="11" t="s">
        <v>9</v>
      </c>
      <c r="C539" s="11">
        <v>1004833</v>
      </c>
      <c r="D539" s="11" t="s">
        <v>11</v>
      </c>
      <c r="E539" s="11" t="s">
        <v>13</v>
      </c>
      <c r="F539" s="11">
        <v>172.23</v>
      </c>
      <c r="G539" s="11">
        <v>557760558</v>
      </c>
      <c r="H539" s="11">
        <v>2</v>
      </c>
      <c r="I539" s="11">
        <f>SalesData[[#This Row],[Price]]*SalesData[[#This Row],[Quantity]]</f>
        <v>344.46</v>
      </c>
      <c r="J539" s="11" t="str">
        <f t="shared" si="8"/>
        <v>Low</v>
      </c>
      <c r="K539" s="21" t="s">
        <v>290</v>
      </c>
    </row>
    <row r="540" spans="1:11">
      <c r="A540" s="10">
        <v>43771</v>
      </c>
      <c r="B540" s="11" t="s">
        <v>9</v>
      </c>
      <c r="C540" s="11">
        <v>1004833</v>
      </c>
      <c r="D540" s="11" t="s">
        <v>11</v>
      </c>
      <c r="E540" s="11" t="s">
        <v>13</v>
      </c>
      <c r="F540" s="11">
        <v>172.23</v>
      </c>
      <c r="G540" s="11">
        <v>557760558</v>
      </c>
      <c r="H540" s="11">
        <v>3</v>
      </c>
      <c r="I540" s="11">
        <f>SalesData[[#This Row],[Price]]*SalesData[[#This Row],[Quantity]]</f>
        <v>516.68999999999994</v>
      </c>
      <c r="J540" s="11" t="str">
        <f t="shared" si="8"/>
        <v>Low</v>
      </c>
      <c r="K540" s="21" t="s">
        <v>290</v>
      </c>
    </row>
    <row r="541" spans="1:11">
      <c r="A541" s="10">
        <v>43774</v>
      </c>
      <c r="B541" s="11" t="s">
        <v>9</v>
      </c>
      <c r="C541" s="11">
        <v>1004833</v>
      </c>
      <c r="D541" s="11" t="s">
        <v>11</v>
      </c>
      <c r="E541" s="11" t="s">
        <v>13</v>
      </c>
      <c r="F541" s="11">
        <v>172.23</v>
      </c>
      <c r="G541" s="11">
        <v>564133858</v>
      </c>
      <c r="H541" s="11">
        <v>2</v>
      </c>
      <c r="I541" s="11">
        <f>SalesData[[#This Row],[Price]]*SalesData[[#This Row],[Quantity]]</f>
        <v>344.46</v>
      </c>
      <c r="J541" s="11" t="str">
        <f t="shared" si="8"/>
        <v>Low</v>
      </c>
      <c r="K541" s="21" t="s">
        <v>290</v>
      </c>
    </row>
    <row r="542" spans="1:11">
      <c r="A542" s="10">
        <v>43773</v>
      </c>
      <c r="B542" s="11" t="s">
        <v>9</v>
      </c>
      <c r="C542" s="11">
        <v>1004833</v>
      </c>
      <c r="D542" s="11" t="s">
        <v>11</v>
      </c>
      <c r="E542" s="11" t="s">
        <v>13</v>
      </c>
      <c r="F542" s="11">
        <v>172.23</v>
      </c>
      <c r="G542" s="11">
        <v>557760558</v>
      </c>
      <c r="H542" s="11">
        <v>2</v>
      </c>
      <c r="I542" s="11">
        <f>SalesData[[#This Row],[Price]]*SalesData[[#This Row],[Quantity]]</f>
        <v>344.46</v>
      </c>
      <c r="J542" s="11" t="str">
        <f t="shared" si="8"/>
        <v>Low</v>
      </c>
      <c r="K542" s="21" t="s">
        <v>290</v>
      </c>
    </row>
    <row r="543" spans="1:11">
      <c r="A543" s="10">
        <v>43780</v>
      </c>
      <c r="B543" s="11" t="s">
        <v>9</v>
      </c>
      <c r="C543" s="11">
        <v>1004833</v>
      </c>
      <c r="D543" s="11" t="s">
        <v>11</v>
      </c>
      <c r="E543" s="11" t="s">
        <v>13</v>
      </c>
      <c r="F543" s="11">
        <v>172.23</v>
      </c>
      <c r="G543" s="11">
        <v>555663594</v>
      </c>
      <c r="H543" s="11">
        <v>2</v>
      </c>
      <c r="I543" s="11">
        <f>SalesData[[#This Row],[Price]]*SalesData[[#This Row],[Quantity]]</f>
        <v>344.46</v>
      </c>
      <c r="J543" s="11" t="str">
        <f t="shared" si="8"/>
        <v>Low</v>
      </c>
      <c r="K543" s="21" t="s">
        <v>290</v>
      </c>
    </row>
    <row r="544" spans="1:11">
      <c r="A544" s="10">
        <v>43770</v>
      </c>
      <c r="B544" s="11" t="s">
        <v>9</v>
      </c>
      <c r="C544" s="11">
        <v>1004833</v>
      </c>
      <c r="D544" s="11" t="s">
        <v>11</v>
      </c>
      <c r="E544" s="11" t="s">
        <v>13</v>
      </c>
      <c r="F544" s="11">
        <v>172.23</v>
      </c>
      <c r="G544" s="11">
        <v>543455415</v>
      </c>
      <c r="H544" s="11">
        <v>2</v>
      </c>
      <c r="I544" s="11">
        <f>SalesData[[#This Row],[Price]]*SalesData[[#This Row],[Quantity]]</f>
        <v>344.46</v>
      </c>
      <c r="J544" s="11" t="str">
        <f t="shared" si="8"/>
        <v>Low</v>
      </c>
      <c r="K544" s="21" t="s">
        <v>290</v>
      </c>
    </row>
    <row r="545" spans="1:11">
      <c r="A545" s="10">
        <v>43773</v>
      </c>
      <c r="B545" s="11" t="s">
        <v>9</v>
      </c>
      <c r="C545" s="11">
        <v>1004833</v>
      </c>
      <c r="D545" s="11" t="s">
        <v>11</v>
      </c>
      <c r="E545" s="11" t="s">
        <v>13</v>
      </c>
      <c r="F545" s="11">
        <v>172.23</v>
      </c>
      <c r="G545" s="11">
        <v>542901438</v>
      </c>
      <c r="H545" s="11">
        <v>4</v>
      </c>
      <c r="I545" s="11">
        <f>SalesData[[#This Row],[Price]]*SalesData[[#This Row],[Quantity]]</f>
        <v>688.92</v>
      </c>
      <c r="J545" s="11" t="str">
        <f t="shared" si="8"/>
        <v>Low</v>
      </c>
      <c r="K545" s="21" t="s">
        <v>290</v>
      </c>
    </row>
    <row r="546" spans="1:11">
      <c r="A546" s="10">
        <v>43779</v>
      </c>
      <c r="B546" s="11" t="s">
        <v>9</v>
      </c>
      <c r="C546" s="11">
        <v>1004833</v>
      </c>
      <c r="D546" s="11" t="s">
        <v>11</v>
      </c>
      <c r="E546" s="11" t="s">
        <v>13</v>
      </c>
      <c r="F546" s="11">
        <v>172.23</v>
      </c>
      <c r="G546" s="11">
        <v>564392703</v>
      </c>
      <c r="H546" s="11">
        <v>2</v>
      </c>
      <c r="I546" s="11">
        <f>SalesData[[#This Row],[Price]]*SalesData[[#This Row],[Quantity]]</f>
        <v>344.46</v>
      </c>
      <c r="J546" s="11" t="str">
        <f t="shared" si="8"/>
        <v>Low</v>
      </c>
      <c r="K546" s="21" t="s">
        <v>290</v>
      </c>
    </row>
    <row r="547" spans="1:11">
      <c r="A547" s="10">
        <v>43771</v>
      </c>
      <c r="B547" s="11" t="s">
        <v>9</v>
      </c>
      <c r="C547" s="11">
        <v>26403693</v>
      </c>
      <c r="D547" s="11" t="s">
        <v>235</v>
      </c>
      <c r="E547" s="11" t="s">
        <v>235</v>
      </c>
      <c r="F547" s="11">
        <v>158.05000000000001</v>
      </c>
      <c r="G547" s="11">
        <v>512432653</v>
      </c>
      <c r="H547" s="11">
        <v>3</v>
      </c>
      <c r="I547" s="11">
        <f>SalesData[[#This Row],[Price]]*SalesData[[#This Row],[Quantity]]</f>
        <v>474.15000000000003</v>
      </c>
      <c r="J547" s="11" t="str">
        <f t="shared" si="8"/>
        <v>Low</v>
      </c>
      <c r="K547" s="21" t="s">
        <v>235</v>
      </c>
    </row>
    <row r="548" spans="1:11">
      <c r="A548" s="10">
        <v>43784</v>
      </c>
      <c r="B548" s="11" t="s">
        <v>9</v>
      </c>
      <c r="C548" s="11">
        <v>17300588</v>
      </c>
      <c r="D548" s="11" t="s">
        <v>235</v>
      </c>
      <c r="E548" s="11" t="s">
        <v>204</v>
      </c>
      <c r="F548" s="11">
        <v>154.44</v>
      </c>
      <c r="G548" s="11">
        <v>538954617</v>
      </c>
      <c r="H548" s="11">
        <v>1</v>
      </c>
      <c r="I548" s="11">
        <f>SalesData[[#This Row],[Price]]*SalesData[[#This Row],[Quantity]]</f>
        <v>154.44</v>
      </c>
      <c r="J548" s="11" t="str">
        <f t="shared" si="8"/>
        <v>Low</v>
      </c>
      <c r="K548" s="21" t="s">
        <v>235</v>
      </c>
    </row>
    <row r="549" spans="1:11">
      <c r="A549" s="10">
        <v>43782</v>
      </c>
      <c r="B549" s="11" t="s">
        <v>9</v>
      </c>
      <c r="C549" s="11">
        <v>1600153</v>
      </c>
      <c r="D549" s="11" t="s">
        <v>30</v>
      </c>
      <c r="E549" s="11" t="s">
        <v>182</v>
      </c>
      <c r="F549" s="11">
        <v>154.19</v>
      </c>
      <c r="G549" s="11">
        <v>559851632</v>
      </c>
      <c r="H549" s="11">
        <v>3</v>
      </c>
      <c r="I549" s="11">
        <f>SalesData[[#This Row],[Price]]*SalesData[[#This Row],[Quantity]]</f>
        <v>462.57</v>
      </c>
      <c r="J549" s="11" t="str">
        <f t="shared" si="8"/>
        <v>Low</v>
      </c>
      <c r="K549" s="21" t="s">
        <v>291</v>
      </c>
    </row>
    <row r="550" spans="1:11">
      <c r="A550" s="10">
        <v>43773</v>
      </c>
      <c r="B550" s="11" t="s">
        <v>9</v>
      </c>
      <c r="C550" s="11">
        <v>13300174</v>
      </c>
      <c r="D550" s="11" t="s">
        <v>235</v>
      </c>
      <c r="E550" s="11" t="s">
        <v>196</v>
      </c>
      <c r="F550" s="11">
        <v>154.19</v>
      </c>
      <c r="G550" s="11">
        <v>513307180</v>
      </c>
      <c r="H550" s="11">
        <v>4</v>
      </c>
      <c r="I550" s="11">
        <f>SalesData[[#This Row],[Price]]*SalesData[[#This Row],[Quantity]]</f>
        <v>616.76</v>
      </c>
      <c r="J550" s="11" t="str">
        <f t="shared" si="8"/>
        <v>Low</v>
      </c>
      <c r="K550" s="21" t="s">
        <v>235</v>
      </c>
    </row>
    <row r="551" spans="1:11">
      <c r="A551" s="10">
        <v>43783</v>
      </c>
      <c r="B551" s="11" t="s">
        <v>9</v>
      </c>
      <c r="C551" s="11">
        <v>2900583</v>
      </c>
      <c r="D551" s="11" t="s">
        <v>28</v>
      </c>
      <c r="E551" s="11" t="s">
        <v>129</v>
      </c>
      <c r="F551" s="11">
        <v>154.16</v>
      </c>
      <c r="G551" s="11">
        <v>514217834</v>
      </c>
      <c r="H551" s="11">
        <v>2</v>
      </c>
      <c r="I551" s="11">
        <f>SalesData[[#This Row],[Price]]*SalesData[[#This Row],[Quantity]]</f>
        <v>308.32</v>
      </c>
      <c r="J551" s="11" t="str">
        <f t="shared" si="8"/>
        <v>Low</v>
      </c>
      <c r="K551" s="21" t="s">
        <v>292</v>
      </c>
    </row>
    <row r="552" spans="1:11">
      <c r="A552" s="10">
        <v>43776</v>
      </c>
      <c r="B552" s="11" t="s">
        <v>9</v>
      </c>
      <c r="C552" s="11">
        <v>1004833</v>
      </c>
      <c r="D552" s="11" t="s">
        <v>11</v>
      </c>
      <c r="E552" s="11" t="s">
        <v>13</v>
      </c>
      <c r="F552" s="11">
        <v>172.23</v>
      </c>
      <c r="G552" s="11">
        <v>545231821</v>
      </c>
      <c r="H552" s="11">
        <v>2</v>
      </c>
      <c r="I552" s="11">
        <f>SalesData[[#This Row],[Price]]*SalesData[[#This Row],[Quantity]]</f>
        <v>344.46</v>
      </c>
      <c r="J552" s="11" t="str">
        <f t="shared" si="8"/>
        <v>Low</v>
      </c>
      <c r="K552" s="21" t="s">
        <v>290</v>
      </c>
    </row>
    <row r="553" spans="1:11">
      <c r="A553" s="10">
        <v>43781</v>
      </c>
      <c r="B553" s="11" t="s">
        <v>9</v>
      </c>
      <c r="C553" s="11">
        <v>1005233</v>
      </c>
      <c r="D553" s="11" t="s">
        <v>11</v>
      </c>
      <c r="E553" s="11" t="s">
        <v>12</v>
      </c>
      <c r="F553" s="11">
        <v>151.1</v>
      </c>
      <c r="G553" s="11">
        <v>540333445</v>
      </c>
      <c r="H553" s="11">
        <v>2</v>
      </c>
      <c r="I553" s="11">
        <f>SalesData[[#This Row],[Price]]*SalesData[[#This Row],[Quantity]]</f>
        <v>302.2</v>
      </c>
      <c r="J553" s="11" t="str">
        <f t="shared" si="8"/>
        <v>Low</v>
      </c>
      <c r="K553" s="21" t="s">
        <v>290</v>
      </c>
    </row>
    <row r="554" spans="1:11">
      <c r="A554" s="10">
        <v>43780</v>
      </c>
      <c r="B554" s="11" t="s">
        <v>9</v>
      </c>
      <c r="C554" s="11">
        <v>1005204</v>
      </c>
      <c r="D554" s="11" t="s">
        <v>11</v>
      </c>
      <c r="E554" s="11" t="s">
        <v>12</v>
      </c>
      <c r="F554" s="11">
        <v>150.97</v>
      </c>
      <c r="G554" s="11">
        <v>513538812</v>
      </c>
      <c r="H554" s="11">
        <v>3</v>
      </c>
      <c r="I554" s="11">
        <f>SalesData[[#This Row],[Price]]*SalesData[[#This Row],[Quantity]]</f>
        <v>452.90999999999997</v>
      </c>
      <c r="J554" s="11" t="str">
        <f t="shared" si="8"/>
        <v>Low</v>
      </c>
      <c r="K554" s="21" t="s">
        <v>290</v>
      </c>
    </row>
    <row r="555" spans="1:11">
      <c r="A555" s="10">
        <v>43777</v>
      </c>
      <c r="B555" s="11" t="s">
        <v>9</v>
      </c>
      <c r="C555" s="11">
        <v>1005204</v>
      </c>
      <c r="D555" s="11" t="s">
        <v>11</v>
      </c>
      <c r="E555" s="11" t="s">
        <v>12</v>
      </c>
      <c r="F555" s="11">
        <v>150.97</v>
      </c>
      <c r="G555" s="11">
        <v>554369005</v>
      </c>
      <c r="H555" s="11">
        <v>2</v>
      </c>
      <c r="I555" s="11">
        <f>SalesData[[#This Row],[Price]]*SalesData[[#This Row],[Quantity]]</f>
        <v>301.94</v>
      </c>
      <c r="J555" s="11" t="str">
        <f t="shared" si="8"/>
        <v>Low</v>
      </c>
      <c r="K555" s="21" t="s">
        <v>290</v>
      </c>
    </row>
    <row r="556" spans="1:11">
      <c r="A556" s="10">
        <v>43773</v>
      </c>
      <c r="B556" s="11" t="s">
        <v>9</v>
      </c>
      <c r="C556" s="11">
        <v>1005204</v>
      </c>
      <c r="D556" s="11" t="s">
        <v>11</v>
      </c>
      <c r="E556" s="11" t="s">
        <v>12</v>
      </c>
      <c r="F556" s="11">
        <v>150.97</v>
      </c>
      <c r="G556" s="11">
        <v>532026926</v>
      </c>
      <c r="H556" s="11">
        <v>2</v>
      </c>
      <c r="I556" s="11">
        <f>SalesData[[#This Row],[Price]]*SalesData[[#This Row],[Quantity]]</f>
        <v>301.94</v>
      </c>
      <c r="J556" s="11" t="str">
        <f t="shared" si="8"/>
        <v>Low</v>
      </c>
      <c r="K556" s="21" t="s">
        <v>290</v>
      </c>
    </row>
    <row r="557" spans="1:11">
      <c r="A557" s="10">
        <v>43770</v>
      </c>
      <c r="B557" s="11" t="s">
        <v>9</v>
      </c>
      <c r="C557" s="11">
        <v>12300231</v>
      </c>
      <c r="D557" s="11" t="s">
        <v>116</v>
      </c>
      <c r="E557" s="11" t="s">
        <v>122</v>
      </c>
      <c r="F557" s="11">
        <v>150.94999999999999</v>
      </c>
      <c r="G557" s="11">
        <v>520203526</v>
      </c>
      <c r="H557" s="11">
        <v>2</v>
      </c>
      <c r="I557" s="11">
        <f>SalesData[[#This Row],[Price]]*SalesData[[#This Row],[Quantity]]</f>
        <v>301.89999999999998</v>
      </c>
      <c r="J557" s="11" t="str">
        <f t="shared" si="8"/>
        <v>Low</v>
      </c>
      <c r="K557" s="21" t="s">
        <v>294</v>
      </c>
    </row>
    <row r="558" spans="1:11">
      <c r="A558" s="10">
        <v>43784</v>
      </c>
      <c r="B558" s="11" t="s">
        <v>9</v>
      </c>
      <c r="C558" s="11">
        <v>2800666</v>
      </c>
      <c r="D558" s="11" t="s">
        <v>100</v>
      </c>
      <c r="E558" s="11" t="s">
        <v>235</v>
      </c>
      <c r="F558" s="11">
        <v>150.04</v>
      </c>
      <c r="G558" s="11">
        <v>518805424</v>
      </c>
      <c r="H558" s="11">
        <v>4</v>
      </c>
      <c r="I558" s="11">
        <f>SalesData[[#This Row],[Price]]*SalesData[[#This Row],[Quantity]]</f>
        <v>600.16</v>
      </c>
      <c r="J558" s="11" t="str">
        <f t="shared" si="8"/>
        <v>Low</v>
      </c>
      <c r="K558" s="21" t="s">
        <v>292</v>
      </c>
    </row>
    <row r="559" spans="1:11">
      <c r="A559" s="10">
        <v>43780</v>
      </c>
      <c r="B559" s="11" t="s">
        <v>9</v>
      </c>
      <c r="C559" s="11">
        <v>1801766</v>
      </c>
      <c r="D559" s="11" t="s">
        <v>15</v>
      </c>
      <c r="E559" s="11" t="s">
        <v>91</v>
      </c>
      <c r="F559" s="11">
        <v>146.85</v>
      </c>
      <c r="G559" s="11">
        <v>555564408</v>
      </c>
      <c r="H559" s="11">
        <v>3</v>
      </c>
      <c r="I559" s="11">
        <f>SalesData[[#This Row],[Price]]*SalesData[[#This Row],[Quantity]]</f>
        <v>440.54999999999995</v>
      </c>
      <c r="J559" s="11" t="str">
        <f t="shared" si="8"/>
        <v>Low</v>
      </c>
      <c r="K559" s="21" t="s">
        <v>290</v>
      </c>
    </row>
    <row r="560" spans="1:11">
      <c r="A560" s="10">
        <v>43774</v>
      </c>
      <c r="B560" s="11" t="s">
        <v>9</v>
      </c>
      <c r="C560" s="11">
        <v>5000118</v>
      </c>
      <c r="D560" s="11" t="s">
        <v>183</v>
      </c>
      <c r="E560" s="11" t="s">
        <v>228</v>
      </c>
      <c r="F560" s="11">
        <v>145.36000000000001</v>
      </c>
      <c r="G560" s="11">
        <v>553657893</v>
      </c>
      <c r="H560" s="11">
        <v>5</v>
      </c>
      <c r="I560" s="11">
        <f>SalesData[[#This Row],[Price]]*SalesData[[#This Row],[Quantity]]</f>
        <v>726.80000000000007</v>
      </c>
      <c r="J560" s="11" t="str">
        <f t="shared" si="8"/>
        <v>Low</v>
      </c>
      <c r="K560" s="21" t="s">
        <v>292</v>
      </c>
    </row>
    <row r="561" spans="1:11">
      <c r="A561" s="10">
        <v>43772</v>
      </c>
      <c r="B561" s="11" t="s">
        <v>9</v>
      </c>
      <c r="C561" s="11">
        <v>5701166</v>
      </c>
      <c r="D561" s="11" t="s">
        <v>59</v>
      </c>
      <c r="E561" s="11" t="s">
        <v>235</v>
      </c>
      <c r="F561" s="11">
        <v>144.12</v>
      </c>
      <c r="G561" s="11">
        <v>558081494</v>
      </c>
      <c r="H561" s="11">
        <v>1</v>
      </c>
      <c r="I561" s="11">
        <f>SalesData[[#This Row],[Price]]*SalesData[[#This Row],[Quantity]]</f>
        <v>144.12</v>
      </c>
      <c r="J561" s="11" t="str">
        <f t="shared" si="8"/>
        <v>Low</v>
      </c>
      <c r="K561" s="21" t="s">
        <v>295</v>
      </c>
    </row>
    <row r="562" spans="1:11">
      <c r="A562" s="10">
        <v>43771</v>
      </c>
      <c r="B562" s="11" t="s">
        <v>9</v>
      </c>
      <c r="C562" s="11">
        <v>1005256</v>
      </c>
      <c r="D562" s="11" t="s">
        <v>11</v>
      </c>
      <c r="E562" s="11" t="s">
        <v>12</v>
      </c>
      <c r="F562" s="11">
        <v>142.84</v>
      </c>
      <c r="G562" s="11">
        <v>518679035</v>
      </c>
      <c r="H562" s="11">
        <v>4</v>
      </c>
      <c r="I562" s="11">
        <f>SalesData[[#This Row],[Price]]*SalesData[[#This Row],[Quantity]]</f>
        <v>571.36</v>
      </c>
      <c r="J562" s="11" t="str">
        <f t="shared" si="8"/>
        <v>Low</v>
      </c>
      <c r="K562" s="21" t="s">
        <v>290</v>
      </c>
    </row>
    <row r="563" spans="1:11">
      <c r="A563" s="10">
        <v>43772</v>
      </c>
      <c r="B563" s="11" t="s">
        <v>9</v>
      </c>
      <c r="C563" s="11">
        <v>3200388</v>
      </c>
      <c r="D563" s="11" t="s">
        <v>207</v>
      </c>
      <c r="E563" s="11" t="s">
        <v>208</v>
      </c>
      <c r="F563" s="11">
        <v>141.55000000000001</v>
      </c>
      <c r="G563" s="11">
        <v>533766790</v>
      </c>
      <c r="H563" s="11">
        <v>5</v>
      </c>
      <c r="I563" s="11">
        <f>SalesData[[#This Row],[Price]]*SalesData[[#This Row],[Quantity]]</f>
        <v>707.75</v>
      </c>
      <c r="J563" s="11" t="str">
        <f t="shared" si="8"/>
        <v>Low</v>
      </c>
      <c r="K563" s="21" t="s">
        <v>292</v>
      </c>
    </row>
    <row r="564" spans="1:11">
      <c r="A564" s="10">
        <v>43781</v>
      </c>
      <c r="B564" s="11" t="s">
        <v>9</v>
      </c>
      <c r="C564" s="11">
        <v>1004026</v>
      </c>
      <c r="D564" s="11" t="s">
        <v>11</v>
      </c>
      <c r="E564" s="11" t="s">
        <v>12</v>
      </c>
      <c r="F564" s="11">
        <v>140.82</v>
      </c>
      <c r="G564" s="11">
        <v>556926861</v>
      </c>
      <c r="H564" s="11">
        <v>5</v>
      </c>
      <c r="I564" s="11">
        <f>SalesData[[#This Row],[Price]]*SalesData[[#This Row],[Quantity]]</f>
        <v>704.09999999999991</v>
      </c>
      <c r="J564" s="11" t="str">
        <f t="shared" si="8"/>
        <v>Low</v>
      </c>
      <c r="K564" s="21" t="s">
        <v>290</v>
      </c>
    </row>
    <row r="565" spans="1:11">
      <c r="A565" s="10">
        <v>43777</v>
      </c>
      <c r="B565" s="11" t="s">
        <v>9</v>
      </c>
      <c r="C565" s="11">
        <v>1004833</v>
      </c>
      <c r="D565" s="11" t="s">
        <v>11</v>
      </c>
      <c r="E565" s="11" t="s">
        <v>13</v>
      </c>
      <c r="F565" s="11">
        <v>172.23</v>
      </c>
      <c r="G565" s="11">
        <v>562522952</v>
      </c>
      <c r="H565" s="11">
        <v>1</v>
      </c>
      <c r="I565" s="11">
        <f>SalesData[[#This Row],[Price]]*SalesData[[#This Row],[Quantity]]</f>
        <v>172.23</v>
      </c>
      <c r="J565" s="11" t="str">
        <f t="shared" si="8"/>
        <v>Low</v>
      </c>
      <c r="K565" s="21" t="s">
        <v>290</v>
      </c>
    </row>
    <row r="566" spans="1:11">
      <c r="A566" s="10">
        <v>43776</v>
      </c>
      <c r="B566" s="11" t="s">
        <v>9</v>
      </c>
      <c r="C566" s="11">
        <v>1004834</v>
      </c>
      <c r="D566" s="11" t="s">
        <v>11</v>
      </c>
      <c r="E566" s="11" t="s">
        <v>13</v>
      </c>
      <c r="F566" s="11">
        <v>172.22</v>
      </c>
      <c r="G566" s="11">
        <v>513376954</v>
      </c>
      <c r="H566" s="11">
        <v>1</v>
      </c>
      <c r="I566" s="11">
        <f>SalesData[[#This Row],[Price]]*SalesData[[#This Row],[Quantity]]</f>
        <v>172.22</v>
      </c>
      <c r="J566" s="11" t="str">
        <f t="shared" si="8"/>
        <v>Low</v>
      </c>
      <c r="K566" s="21" t="s">
        <v>290</v>
      </c>
    </row>
    <row r="567" spans="1:11">
      <c r="A567" s="10">
        <v>43773</v>
      </c>
      <c r="B567" s="11" t="s">
        <v>9</v>
      </c>
      <c r="C567" s="11">
        <v>1201504</v>
      </c>
      <c r="D567" s="11" t="s">
        <v>124</v>
      </c>
      <c r="E567" s="11" t="s">
        <v>13</v>
      </c>
      <c r="F567" s="11">
        <v>154.16</v>
      </c>
      <c r="G567" s="11">
        <v>515849878</v>
      </c>
      <c r="H567" s="11">
        <v>4</v>
      </c>
      <c r="I567" s="11">
        <f>SalesData[[#This Row],[Price]]*SalesData[[#This Row],[Quantity]]</f>
        <v>616.64</v>
      </c>
      <c r="J567" s="11" t="str">
        <f t="shared" si="8"/>
        <v>Low</v>
      </c>
      <c r="K567" s="21" t="s">
        <v>290</v>
      </c>
    </row>
    <row r="568" spans="1:11">
      <c r="A568" s="10">
        <v>43771</v>
      </c>
      <c r="B568" s="11" t="s">
        <v>9</v>
      </c>
      <c r="C568" s="11">
        <v>1005100</v>
      </c>
      <c r="D568" s="11" t="s">
        <v>11</v>
      </c>
      <c r="E568" s="11" t="s">
        <v>13</v>
      </c>
      <c r="F568" s="11">
        <v>139.68</v>
      </c>
      <c r="G568" s="11">
        <v>548614053</v>
      </c>
      <c r="H568" s="11">
        <v>1</v>
      </c>
      <c r="I568" s="11">
        <f>SalesData[[#This Row],[Price]]*SalesData[[#This Row],[Quantity]]</f>
        <v>139.68</v>
      </c>
      <c r="J568" s="11" t="str">
        <f t="shared" si="8"/>
        <v>Low</v>
      </c>
      <c r="K568" s="21" t="s">
        <v>290</v>
      </c>
    </row>
    <row r="569" spans="1:11">
      <c r="A569" s="10">
        <v>43780</v>
      </c>
      <c r="B569" s="11" t="s">
        <v>9</v>
      </c>
      <c r="C569" s="11">
        <v>1005100</v>
      </c>
      <c r="D569" s="11" t="s">
        <v>11</v>
      </c>
      <c r="E569" s="11" t="s">
        <v>13</v>
      </c>
      <c r="F569" s="11">
        <v>139.68</v>
      </c>
      <c r="G569" s="11">
        <v>529871962</v>
      </c>
      <c r="H569" s="11">
        <v>4</v>
      </c>
      <c r="I569" s="11">
        <f>SalesData[[#This Row],[Price]]*SalesData[[#This Row],[Quantity]]</f>
        <v>558.72</v>
      </c>
      <c r="J569" s="11" t="str">
        <f t="shared" si="8"/>
        <v>Low</v>
      </c>
      <c r="K569" s="21" t="s">
        <v>290</v>
      </c>
    </row>
    <row r="570" spans="1:11">
      <c r="A570" s="10">
        <v>43772</v>
      </c>
      <c r="B570" s="11" t="s">
        <v>9</v>
      </c>
      <c r="C570" s="11">
        <v>1005100</v>
      </c>
      <c r="D570" s="11" t="s">
        <v>11</v>
      </c>
      <c r="E570" s="11" t="s">
        <v>13</v>
      </c>
      <c r="F570" s="11">
        <v>139.68</v>
      </c>
      <c r="G570" s="11">
        <v>547422663</v>
      </c>
      <c r="H570" s="11">
        <v>5</v>
      </c>
      <c r="I570" s="11">
        <f>SalesData[[#This Row],[Price]]*SalesData[[#This Row],[Quantity]]</f>
        <v>698.40000000000009</v>
      </c>
      <c r="J570" s="11" t="str">
        <f t="shared" si="8"/>
        <v>Low</v>
      </c>
      <c r="K570" s="21" t="s">
        <v>290</v>
      </c>
    </row>
    <row r="571" spans="1:11">
      <c r="A571" s="10">
        <v>43783</v>
      </c>
      <c r="B571" s="11" t="s">
        <v>9</v>
      </c>
      <c r="C571" s="11">
        <v>1005100</v>
      </c>
      <c r="D571" s="11" t="s">
        <v>11</v>
      </c>
      <c r="E571" s="11" t="s">
        <v>13</v>
      </c>
      <c r="F571" s="11">
        <v>139.68</v>
      </c>
      <c r="G571" s="11">
        <v>547834029</v>
      </c>
      <c r="H571" s="11">
        <v>4</v>
      </c>
      <c r="I571" s="11">
        <f>SalesData[[#This Row],[Price]]*SalesData[[#This Row],[Quantity]]</f>
        <v>558.72</v>
      </c>
      <c r="J571" s="11" t="str">
        <f t="shared" si="8"/>
        <v>Low</v>
      </c>
      <c r="K571" s="21" t="s">
        <v>290</v>
      </c>
    </row>
    <row r="572" spans="1:11">
      <c r="A572" s="10">
        <v>43779</v>
      </c>
      <c r="B572" s="11" t="s">
        <v>9</v>
      </c>
      <c r="C572" s="11">
        <v>1005100</v>
      </c>
      <c r="D572" s="11" t="s">
        <v>11</v>
      </c>
      <c r="E572" s="11" t="s">
        <v>13</v>
      </c>
      <c r="F572" s="11">
        <v>139.68</v>
      </c>
      <c r="G572" s="11">
        <v>513579341</v>
      </c>
      <c r="H572" s="11">
        <v>2</v>
      </c>
      <c r="I572" s="11">
        <f>SalesData[[#This Row],[Price]]*SalesData[[#This Row],[Quantity]]</f>
        <v>279.36</v>
      </c>
      <c r="J572" s="11" t="str">
        <f t="shared" si="8"/>
        <v>Low</v>
      </c>
      <c r="K572" s="21" t="s">
        <v>290</v>
      </c>
    </row>
    <row r="573" spans="1:11">
      <c r="A573" s="10">
        <v>43778</v>
      </c>
      <c r="B573" s="11" t="s">
        <v>9</v>
      </c>
      <c r="C573" s="11">
        <v>1005100</v>
      </c>
      <c r="D573" s="11" t="s">
        <v>11</v>
      </c>
      <c r="E573" s="11" t="s">
        <v>13</v>
      </c>
      <c r="F573" s="11">
        <v>139.68</v>
      </c>
      <c r="G573" s="11">
        <v>560860500</v>
      </c>
      <c r="H573" s="11">
        <v>3</v>
      </c>
      <c r="I573" s="11">
        <f>SalesData[[#This Row],[Price]]*SalesData[[#This Row],[Quantity]]</f>
        <v>419.04</v>
      </c>
      <c r="J573" s="11" t="str">
        <f t="shared" si="8"/>
        <v>Low</v>
      </c>
      <c r="K573" s="21" t="s">
        <v>290</v>
      </c>
    </row>
    <row r="574" spans="1:11">
      <c r="A574" s="10">
        <v>43783</v>
      </c>
      <c r="B574" s="11" t="s">
        <v>9</v>
      </c>
      <c r="C574" s="11">
        <v>1005100</v>
      </c>
      <c r="D574" s="11" t="s">
        <v>11</v>
      </c>
      <c r="E574" s="11" t="s">
        <v>13</v>
      </c>
      <c r="F574" s="11">
        <v>139.68</v>
      </c>
      <c r="G574" s="11">
        <v>558819107</v>
      </c>
      <c r="H574" s="11">
        <v>4</v>
      </c>
      <c r="I574" s="11">
        <f>SalesData[[#This Row],[Price]]*SalesData[[#This Row],[Quantity]]</f>
        <v>558.72</v>
      </c>
      <c r="J574" s="11" t="str">
        <f t="shared" si="8"/>
        <v>Low</v>
      </c>
      <c r="K574" s="21" t="s">
        <v>290</v>
      </c>
    </row>
    <row r="575" spans="1:11">
      <c r="A575" s="10">
        <v>43777</v>
      </c>
      <c r="B575" s="11" t="s">
        <v>9</v>
      </c>
      <c r="C575" s="11">
        <v>1005100</v>
      </c>
      <c r="D575" s="11" t="s">
        <v>11</v>
      </c>
      <c r="E575" s="11" t="s">
        <v>13</v>
      </c>
      <c r="F575" s="11">
        <v>139.68</v>
      </c>
      <c r="G575" s="11">
        <v>530038524</v>
      </c>
      <c r="H575" s="11">
        <v>4</v>
      </c>
      <c r="I575" s="11">
        <f>SalesData[[#This Row],[Price]]*SalesData[[#This Row],[Quantity]]</f>
        <v>558.72</v>
      </c>
      <c r="J575" s="11" t="str">
        <f t="shared" si="8"/>
        <v>Low</v>
      </c>
      <c r="K575" s="21" t="s">
        <v>290</v>
      </c>
    </row>
    <row r="576" spans="1:11">
      <c r="A576" s="10">
        <v>43772</v>
      </c>
      <c r="B576" s="11" t="s">
        <v>9</v>
      </c>
      <c r="C576" s="11">
        <v>1005100</v>
      </c>
      <c r="D576" s="11" t="s">
        <v>11</v>
      </c>
      <c r="E576" s="11" t="s">
        <v>13</v>
      </c>
      <c r="F576" s="11">
        <v>139.68</v>
      </c>
      <c r="G576" s="11">
        <v>558057992</v>
      </c>
      <c r="H576" s="11">
        <v>3</v>
      </c>
      <c r="I576" s="11">
        <f>SalesData[[#This Row],[Price]]*SalesData[[#This Row],[Quantity]]</f>
        <v>419.04</v>
      </c>
      <c r="J576" s="11" t="str">
        <f t="shared" si="8"/>
        <v>Low</v>
      </c>
      <c r="K576" s="21" t="s">
        <v>290</v>
      </c>
    </row>
    <row r="577" spans="1:11">
      <c r="A577" s="10">
        <v>43784</v>
      </c>
      <c r="B577" s="11" t="s">
        <v>9</v>
      </c>
      <c r="C577" s="11">
        <v>1005100</v>
      </c>
      <c r="D577" s="11" t="s">
        <v>11</v>
      </c>
      <c r="E577" s="11" t="s">
        <v>13</v>
      </c>
      <c r="F577" s="11">
        <v>139.68</v>
      </c>
      <c r="G577" s="11">
        <v>558070827</v>
      </c>
      <c r="H577" s="11">
        <v>3</v>
      </c>
      <c r="I577" s="11">
        <f>SalesData[[#This Row],[Price]]*SalesData[[#This Row],[Quantity]]</f>
        <v>419.04</v>
      </c>
      <c r="J577" s="11" t="str">
        <f t="shared" si="8"/>
        <v>Low</v>
      </c>
      <c r="K577" s="21" t="s">
        <v>290</v>
      </c>
    </row>
    <row r="578" spans="1:11">
      <c r="A578" s="10">
        <v>43778</v>
      </c>
      <c r="B578" s="11" t="s">
        <v>9</v>
      </c>
      <c r="C578" s="11">
        <v>1005098</v>
      </c>
      <c r="D578" s="11" t="s">
        <v>11</v>
      </c>
      <c r="E578" s="11" t="s">
        <v>13</v>
      </c>
      <c r="F578" s="11">
        <v>139.63999999999999</v>
      </c>
      <c r="G578" s="11">
        <v>566018135</v>
      </c>
      <c r="H578" s="11">
        <v>1</v>
      </c>
      <c r="I578" s="11">
        <f>SalesData[[#This Row],[Price]]*SalesData[[#This Row],[Quantity]]</f>
        <v>139.63999999999999</v>
      </c>
      <c r="J578" s="11" t="str">
        <f t="shared" ref="J578:J641" si="9">IF(F578&lt;500, "Low", IF(F578&lt;1500, "Medium", "High"))</f>
        <v>Low</v>
      </c>
      <c r="K578" s="21" t="s">
        <v>290</v>
      </c>
    </row>
    <row r="579" spans="1:11">
      <c r="A579" s="10">
        <v>43777</v>
      </c>
      <c r="B579" s="11" t="s">
        <v>9</v>
      </c>
      <c r="C579" s="11">
        <v>1005098</v>
      </c>
      <c r="D579" s="11" t="s">
        <v>11</v>
      </c>
      <c r="E579" s="11" t="s">
        <v>13</v>
      </c>
      <c r="F579" s="11">
        <v>139.63999999999999</v>
      </c>
      <c r="G579" s="11">
        <v>555843679</v>
      </c>
      <c r="H579" s="11">
        <v>1</v>
      </c>
      <c r="I579" s="11">
        <f>SalesData[[#This Row],[Price]]*SalesData[[#This Row],[Quantity]]</f>
        <v>139.63999999999999</v>
      </c>
      <c r="J579" s="11" t="str">
        <f t="shared" si="9"/>
        <v>Low</v>
      </c>
      <c r="K579" s="21" t="s">
        <v>290</v>
      </c>
    </row>
    <row r="580" spans="1:11">
      <c r="A580" s="10">
        <v>43775</v>
      </c>
      <c r="B580" s="11" t="s">
        <v>9</v>
      </c>
      <c r="C580" s="11">
        <v>1004788</v>
      </c>
      <c r="D580" s="11" t="s">
        <v>11</v>
      </c>
      <c r="E580" s="11" t="s">
        <v>12</v>
      </c>
      <c r="F580" s="11">
        <v>138.71</v>
      </c>
      <c r="G580" s="11">
        <v>565688911</v>
      </c>
      <c r="H580" s="11">
        <v>1</v>
      </c>
      <c r="I580" s="11">
        <f>SalesData[[#This Row],[Price]]*SalesData[[#This Row],[Quantity]]</f>
        <v>138.71</v>
      </c>
      <c r="J580" s="11" t="str">
        <f t="shared" si="9"/>
        <v>Low</v>
      </c>
      <c r="K580" s="21" t="s">
        <v>290</v>
      </c>
    </row>
    <row r="581" spans="1:11">
      <c r="A581" s="10">
        <v>43781</v>
      </c>
      <c r="B581" s="11" t="s">
        <v>9</v>
      </c>
      <c r="C581" s="11">
        <v>1004788</v>
      </c>
      <c r="D581" s="11" t="s">
        <v>11</v>
      </c>
      <c r="E581" s="11" t="s">
        <v>12</v>
      </c>
      <c r="F581" s="11">
        <v>138.71</v>
      </c>
      <c r="G581" s="11">
        <v>566292457</v>
      </c>
      <c r="H581" s="11">
        <v>5</v>
      </c>
      <c r="I581" s="11">
        <f>SalesData[[#This Row],[Price]]*SalesData[[#This Row],[Quantity]]</f>
        <v>693.55000000000007</v>
      </c>
      <c r="J581" s="11" t="str">
        <f t="shared" si="9"/>
        <v>Low</v>
      </c>
      <c r="K581" s="21" t="s">
        <v>290</v>
      </c>
    </row>
    <row r="582" spans="1:11">
      <c r="A582" s="10">
        <v>43771</v>
      </c>
      <c r="B582" s="11" t="s">
        <v>9</v>
      </c>
      <c r="C582" s="11">
        <v>1005266</v>
      </c>
      <c r="D582" s="11" t="s">
        <v>11</v>
      </c>
      <c r="E582" s="11" t="s">
        <v>12</v>
      </c>
      <c r="F582" s="11">
        <v>137.18</v>
      </c>
      <c r="G582" s="11">
        <v>523701254</v>
      </c>
      <c r="H582" s="11">
        <v>4</v>
      </c>
      <c r="I582" s="11">
        <f>SalesData[[#This Row],[Price]]*SalesData[[#This Row],[Quantity]]</f>
        <v>548.72</v>
      </c>
      <c r="J582" s="11" t="str">
        <f t="shared" si="9"/>
        <v>Low</v>
      </c>
      <c r="K582" s="21" t="s">
        <v>290</v>
      </c>
    </row>
    <row r="583" spans="1:11">
      <c r="A583" s="10">
        <v>43778</v>
      </c>
      <c r="B583" s="11" t="s">
        <v>9</v>
      </c>
      <c r="C583" s="11">
        <v>1004205</v>
      </c>
      <c r="D583" s="11" t="s">
        <v>11</v>
      </c>
      <c r="E583" s="11" t="s">
        <v>12</v>
      </c>
      <c r="F583" s="11">
        <v>136.16999999999999</v>
      </c>
      <c r="G583" s="11">
        <v>536276853</v>
      </c>
      <c r="H583" s="11">
        <v>3</v>
      </c>
      <c r="I583" s="11">
        <f>SalesData[[#This Row],[Price]]*SalesData[[#This Row],[Quantity]]</f>
        <v>408.51</v>
      </c>
      <c r="J583" s="11" t="str">
        <f t="shared" si="9"/>
        <v>Low</v>
      </c>
      <c r="K583" s="21" t="s">
        <v>290</v>
      </c>
    </row>
    <row r="584" spans="1:11">
      <c r="A584" s="10">
        <v>43772</v>
      </c>
      <c r="B584" s="11" t="s">
        <v>9</v>
      </c>
      <c r="C584" s="11">
        <v>1004777</v>
      </c>
      <c r="D584" s="11" t="s">
        <v>11</v>
      </c>
      <c r="E584" s="11" t="s">
        <v>12</v>
      </c>
      <c r="F584" s="11">
        <v>135.01</v>
      </c>
      <c r="G584" s="11">
        <v>527700673</v>
      </c>
      <c r="H584" s="11">
        <v>2</v>
      </c>
      <c r="I584" s="11">
        <f>SalesData[[#This Row],[Price]]*SalesData[[#This Row],[Quantity]]</f>
        <v>270.02</v>
      </c>
      <c r="J584" s="11" t="str">
        <f t="shared" si="9"/>
        <v>Low</v>
      </c>
      <c r="K584" s="21" t="s">
        <v>290</v>
      </c>
    </row>
    <row r="585" spans="1:11">
      <c r="A585" s="10">
        <v>43774</v>
      </c>
      <c r="B585" s="11" t="s">
        <v>9</v>
      </c>
      <c r="C585" s="11">
        <v>1004777</v>
      </c>
      <c r="D585" s="11" t="s">
        <v>11</v>
      </c>
      <c r="E585" s="11" t="s">
        <v>12</v>
      </c>
      <c r="F585" s="11">
        <v>135.01</v>
      </c>
      <c r="G585" s="11">
        <v>530337676</v>
      </c>
      <c r="H585" s="11">
        <v>1</v>
      </c>
      <c r="I585" s="11">
        <f>SalesData[[#This Row],[Price]]*SalesData[[#This Row],[Quantity]]</f>
        <v>135.01</v>
      </c>
      <c r="J585" s="11" t="str">
        <f t="shared" si="9"/>
        <v>Low</v>
      </c>
      <c r="K585" s="21" t="s">
        <v>290</v>
      </c>
    </row>
    <row r="586" spans="1:11">
      <c r="A586" s="10">
        <v>43778</v>
      </c>
      <c r="B586" s="11" t="s">
        <v>9</v>
      </c>
      <c r="C586" s="11">
        <v>5801656</v>
      </c>
      <c r="D586" s="11" t="s">
        <v>16</v>
      </c>
      <c r="E586" s="11" t="s">
        <v>181</v>
      </c>
      <c r="F586" s="11">
        <v>133.83000000000001</v>
      </c>
      <c r="G586" s="11">
        <v>521720970</v>
      </c>
      <c r="H586" s="11">
        <v>3</v>
      </c>
      <c r="I586" s="11">
        <f>SalesData[[#This Row],[Price]]*SalesData[[#This Row],[Quantity]]</f>
        <v>401.49</v>
      </c>
      <c r="J586" s="11" t="str">
        <f t="shared" si="9"/>
        <v>Low</v>
      </c>
      <c r="K586" s="21" t="s">
        <v>290</v>
      </c>
    </row>
    <row r="587" spans="1:11">
      <c r="A587" s="10">
        <v>43772</v>
      </c>
      <c r="B587" s="11" t="s">
        <v>9</v>
      </c>
      <c r="C587" s="11">
        <v>1005099</v>
      </c>
      <c r="D587" s="11" t="s">
        <v>11</v>
      </c>
      <c r="E587" s="11" t="s">
        <v>13</v>
      </c>
      <c r="F587" s="11">
        <v>139.63999999999999</v>
      </c>
      <c r="G587" s="11">
        <v>530337676</v>
      </c>
      <c r="H587" s="11">
        <v>2</v>
      </c>
      <c r="I587" s="11">
        <f>SalesData[[#This Row],[Price]]*SalesData[[#This Row],[Quantity]]</f>
        <v>279.27999999999997</v>
      </c>
      <c r="J587" s="11" t="str">
        <f t="shared" si="9"/>
        <v>Low</v>
      </c>
      <c r="K587" s="21" t="s">
        <v>290</v>
      </c>
    </row>
    <row r="588" spans="1:11">
      <c r="A588" s="10">
        <v>43774</v>
      </c>
      <c r="B588" s="11" t="s">
        <v>9</v>
      </c>
      <c r="C588" s="11">
        <v>1005099</v>
      </c>
      <c r="D588" s="11" t="s">
        <v>11</v>
      </c>
      <c r="E588" s="11" t="s">
        <v>13</v>
      </c>
      <c r="F588" s="11">
        <v>139.63999999999999</v>
      </c>
      <c r="G588" s="11">
        <v>530337676</v>
      </c>
      <c r="H588" s="11">
        <v>4</v>
      </c>
      <c r="I588" s="11">
        <f>SalesData[[#This Row],[Price]]*SalesData[[#This Row],[Quantity]]</f>
        <v>558.55999999999995</v>
      </c>
      <c r="J588" s="11" t="str">
        <f t="shared" si="9"/>
        <v>Low</v>
      </c>
      <c r="K588" s="21" t="s">
        <v>290</v>
      </c>
    </row>
    <row r="589" spans="1:11">
      <c r="A589" s="10">
        <v>43780</v>
      </c>
      <c r="B589" s="11" t="s">
        <v>9</v>
      </c>
      <c r="C589" s="11">
        <v>1005098</v>
      </c>
      <c r="D589" s="11" t="s">
        <v>11</v>
      </c>
      <c r="E589" s="11" t="s">
        <v>13</v>
      </c>
      <c r="F589" s="11">
        <v>139.63999999999999</v>
      </c>
      <c r="G589" s="11">
        <v>558339079</v>
      </c>
      <c r="H589" s="11">
        <v>4</v>
      </c>
      <c r="I589" s="11">
        <f>SalesData[[#This Row],[Price]]*SalesData[[#This Row],[Quantity]]</f>
        <v>558.55999999999995</v>
      </c>
      <c r="J589" s="11" t="str">
        <f t="shared" si="9"/>
        <v>Low</v>
      </c>
      <c r="K589" s="21" t="s">
        <v>290</v>
      </c>
    </row>
    <row r="590" spans="1:11">
      <c r="A590" s="10">
        <v>43778</v>
      </c>
      <c r="B590" s="11" t="s">
        <v>9</v>
      </c>
      <c r="C590" s="11">
        <v>1004887</v>
      </c>
      <c r="D590" s="11" t="s">
        <v>11</v>
      </c>
      <c r="E590" s="11" t="s">
        <v>47</v>
      </c>
      <c r="F590" s="11">
        <v>128.68</v>
      </c>
      <c r="G590" s="11">
        <v>519233119</v>
      </c>
      <c r="H590" s="11">
        <v>4</v>
      </c>
      <c r="I590" s="11">
        <f>SalesData[[#This Row],[Price]]*SalesData[[#This Row],[Quantity]]</f>
        <v>514.72</v>
      </c>
      <c r="J590" s="11" t="str">
        <f t="shared" si="9"/>
        <v>Low</v>
      </c>
      <c r="K590" s="21" t="s">
        <v>290</v>
      </c>
    </row>
    <row r="591" spans="1:11">
      <c r="A591" s="10">
        <v>43780</v>
      </c>
      <c r="B591" s="11" t="s">
        <v>9</v>
      </c>
      <c r="C591" s="11">
        <v>1004887</v>
      </c>
      <c r="D591" s="11" t="s">
        <v>11</v>
      </c>
      <c r="E591" s="11" t="s">
        <v>47</v>
      </c>
      <c r="F591" s="11">
        <v>128.68</v>
      </c>
      <c r="G591" s="11">
        <v>566216449</v>
      </c>
      <c r="H591" s="11">
        <v>4</v>
      </c>
      <c r="I591" s="11">
        <f>SalesData[[#This Row],[Price]]*SalesData[[#This Row],[Quantity]]</f>
        <v>514.72</v>
      </c>
      <c r="J591" s="11" t="str">
        <f t="shared" si="9"/>
        <v>Low</v>
      </c>
      <c r="K591" s="21" t="s">
        <v>290</v>
      </c>
    </row>
    <row r="592" spans="1:11">
      <c r="A592" s="10">
        <v>43775</v>
      </c>
      <c r="B592" s="11" t="s">
        <v>9</v>
      </c>
      <c r="C592" s="11">
        <v>1004858</v>
      </c>
      <c r="D592" s="11" t="s">
        <v>11</v>
      </c>
      <c r="E592" s="11" t="s">
        <v>13</v>
      </c>
      <c r="F592" s="11">
        <v>131.53</v>
      </c>
      <c r="G592" s="11">
        <v>560277471</v>
      </c>
      <c r="H592" s="11">
        <v>5</v>
      </c>
      <c r="I592" s="11">
        <f>SalesData[[#This Row],[Price]]*SalesData[[#This Row],[Quantity]]</f>
        <v>657.65</v>
      </c>
      <c r="J592" s="11" t="str">
        <f t="shared" si="9"/>
        <v>Low</v>
      </c>
      <c r="K592" s="21" t="s">
        <v>290</v>
      </c>
    </row>
    <row r="593" spans="1:11">
      <c r="A593" s="10">
        <v>43782</v>
      </c>
      <c r="B593" s="11" t="s">
        <v>9</v>
      </c>
      <c r="C593" s="11">
        <v>1004858</v>
      </c>
      <c r="D593" s="11" t="s">
        <v>11</v>
      </c>
      <c r="E593" s="11" t="s">
        <v>13</v>
      </c>
      <c r="F593" s="11">
        <v>131.53</v>
      </c>
      <c r="G593" s="11">
        <v>516867725</v>
      </c>
      <c r="H593" s="11">
        <v>5</v>
      </c>
      <c r="I593" s="11">
        <f>SalesData[[#This Row],[Price]]*SalesData[[#This Row],[Quantity]]</f>
        <v>657.65</v>
      </c>
      <c r="J593" s="11" t="str">
        <f t="shared" si="9"/>
        <v>Low</v>
      </c>
      <c r="K593" s="21" t="s">
        <v>290</v>
      </c>
    </row>
    <row r="594" spans="1:11">
      <c r="A594" s="10">
        <v>43776</v>
      </c>
      <c r="B594" s="11" t="s">
        <v>9</v>
      </c>
      <c r="C594" s="11">
        <v>1004858</v>
      </c>
      <c r="D594" s="11" t="s">
        <v>11</v>
      </c>
      <c r="E594" s="11" t="s">
        <v>13</v>
      </c>
      <c r="F594" s="11">
        <v>131.53</v>
      </c>
      <c r="G594" s="11">
        <v>513199333</v>
      </c>
      <c r="H594" s="11">
        <v>5</v>
      </c>
      <c r="I594" s="11">
        <f>SalesData[[#This Row],[Price]]*SalesData[[#This Row],[Quantity]]</f>
        <v>657.65</v>
      </c>
      <c r="J594" s="11" t="str">
        <f t="shared" si="9"/>
        <v>Low</v>
      </c>
      <c r="K594" s="21" t="s">
        <v>290</v>
      </c>
    </row>
    <row r="595" spans="1:11">
      <c r="A595" s="10">
        <v>43781</v>
      </c>
      <c r="B595" s="11" t="s">
        <v>9</v>
      </c>
      <c r="C595" s="11">
        <v>1004856</v>
      </c>
      <c r="D595" s="11" t="s">
        <v>11</v>
      </c>
      <c r="E595" s="11" t="s">
        <v>13</v>
      </c>
      <c r="F595" s="11">
        <v>128.41999999999999</v>
      </c>
      <c r="G595" s="11">
        <v>562958505</v>
      </c>
      <c r="H595" s="11">
        <v>2</v>
      </c>
      <c r="I595" s="11">
        <f>SalesData[[#This Row],[Price]]*SalesData[[#This Row],[Quantity]]</f>
        <v>256.83999999999997</v>
      </c>
      <c r="J595" s="11" t="str">
        <f t="shared" si="9"/>
        <v>Low</v>
      </c>
      <c r="K595" s="21" t="s">
        <v>290</v>
      </c>
    </row>
    <row r="596" spans="1:11">
      <c r="A596" s="10">
        <v>43783</v>
      </c>
      <c r="B596" s="11" t="s">
        <v>9</v>
      </c>
      <c r="C596" s="11">
        <v>1004856</v>
      </c>
      <c r="D596" s="11" t="s">
        <v>11</v>
      </c>
      <c r="E596" s="11" t="s">
        <v>13</v>
      </c>
      <c r="F596" s="11">
        <v>128.41999999999999</v>
      </c>
      <c r="G596" s="11">
        <v>513645631</v>
      </c>
      <c r="H596" s="11">
        <v>2</v>
      </c>
      <c r="I596" s="11">
        <f>SalesData[[#This Row],[Price]]*SalesData[[#This Row],[Quantity]]</f>
        <v>256.83999999999997</v>
      </c>
      <c r="J596" s="11" t="str">
        <f t="shared" si="9"/>
        <v>Low</v>
      </c>
      <c r="K596" s="21" t="s">
        <v>290</v>
      </c>
    </row>
    <row r="597" spans="1:11">
      <c r="A597" s="10">
        <v>43775</v>
      </c>
      <c r="B597" s="11" t="s">
        <v>9</v>
      </c>
      <c r="C597" s="11">
        <v>1004856</v>
      </c>
      <c r="D597" s="11" t="s">
        <v>11</v>
      </c>
      <c r="E597" s="11" t="s">
        <v>13</v>
      </c>
      <c r="F597" s="11">
        <v>128.41999999999999</v>
      </c>
      <c r="G597" s="11">
        <v>552335155</v>
      </c>
      <c r="H597" s="11">
        <v>2</v>
      </c>
      <c r="I597" s="11">
        <f>SalesData[[#This Row],[Price]]*SalesData[[#This Row],[Quantity]]</f>
        <v>256.83999999999997</v>
      </c>
      <c r="J597" s="11" t="str">
        <f t="shared" si="9"/>
        <v>Low</v>
      </c>
      <c r="K597" s="21" t="s">
        <v>290</v>
      </c>
    </row>
    <row r="598" spans="1:11">
      <c r="A598" s="10">
        <v>43781</v>
      </c>
      <c r="B598" s="11" t="s">
        <v>9</v>
      </c>
      <c r="C598" s="11">
        <v>1004856</v>
      </c>
      <c r="D598" s="11" t="s">
        <v>11</v>
      </c>
      <c r="E598" s="11" t="s">
        <v>13</v>
      </c>
      <c r="F598" s="11">
        <v>128.41999999999999</v>
      </c>
      <c r="G598" s="11">
        <v>562301215</v>
      </c>
      <c r="H598" s="11">
        <v>4</v>
      </c>
      <c r="I598" s="11">
        <f>SalesData[[#This Row],[Price]]*SalesData[[#This Row],[Quantity]]</f>
        <v>513.67999999999995</v>
      </c>
      <c r="J598" s="11" t="str">
        <f t="shared" si="9"/>
        <v>Low</v>
      </c>
      <c r="K598" s="21" t="s">
        <v>290</v>
      </c>
    </row>
    <row r="599" spans="1:11">
      <c r="A599" s="10">
        <v>43775</v>
      </c>
      <c r="B599" s="11" t="s">
        <v>9</v>
      </c>
      <c r="C599" s="11">
        <v>1004856</v>
      </c>
      <c r="D599" s="11" t="s">
        <v>11</v>
      </c>
      <c r="E599" s="11" t="s">
        <v>13</v>
      </c>
      <c r="F599" s="11">
        <v>128.41999999999999</v>
      </c>
      <c r="G599" s="11">
        <v>534820779</v>
      </c>
      <c r="H599" s="11">
        <v>4</v>
      </c>
      <c r="I599" s="11">
        <f>SalesData[[#This Row],[Price]]*SalesData[[#This Row],[Quantity]]</f>
        <v>513.67999999999995</v>
      </c>
      <c r="J599" s="11" t="str">
        <f t="shared" si="9"/>
        <v>Low</v>
      </c>
      <c r="K599" s="21" t="s">
        <v>290</v>
      </c>
    </row>
    <row r="600" spans="1:11">
      <c r="A600" s="10">
        <v>43774</v>
      </c>
      <c r="B600" s="11" t="s">
        <v>9</v>
      </c>
      <c r="C600" s="11">
        <v>1004856</v>
      </c>
      <c r="D600" s="11" t="s">
        <v>11</v>
      </c>
      <c r="E600" s="11" t="s">
        <v>13</v>
      </c>
      <c r="F600" s="11">
        <v>128.41999999999999</v>
      </c>
      <c r="G600" s="11">
        <v>543272936</v>
      </c>
      <c r="H600" s="11">
        <v>4</v>
      </c>
      <c r="I600" s="11">
        <f>SalesData[[#This Row],[Price]]*SalesData[[#This Row],[Quantity]]</f>
        <v>513.67999999999995</v>
      </c>
      <c r="J600" s="11" t="str">
        <f t="shared" si="9"/>
        <v>Low</v>
      </c>
      <c r="K600" s="21" t="s">
        <v>290</v>
      </c>
    </row>
    <row r="601" spans="1:11">
      <c r="A601" s="10">
        <v>43774</v>
      </c>
      <c r="B601" s="11" t="s">
        <v>9</v>
      </c>
      <c r="C601" s="11">
        <v>1004856</v>
      </c>
      <c r="D601" s="11" t="s">
        <v>11</v>
      </c>
      <c r="E601" s="11" t="s">
        <v>13</v>
      </c>
      <c r="F601" s="11">
        <v>128.41999999999999</v>
      </c>
      <c r="G601" s="11">
        <v>557016168</v>
      </c>
      <c r="H601" s="11">
        <v>2</v>
      </c>
      <c r="I601" s="11">
        <f>SalesData[[#This Row],[Price]]*SalesData[[#This Row],[Quantity]]</f>
        <v>256.83999999999997</v>
      </c>
      <c r="J601" s="11" t="str">
        <f t="shared" si="9"/>
        <v>Low</v>
      </c>
      <c r="K601" s="21" t="s">
        <v>290</v>
      </c>
    </row>
    <row r="602" spans="1:11">
      <c r="A602" s="10">
        <v>43774</v>
      </c>
      <c r="B602" s="11" t="s">
        <v>9</v>
      </c>
      <c r="C602" s="11">
        <v>1004856</v>
      </c>
      <c r="D602" s="11" t="s">
        <v>11</v>
      </c>
      <c r="E602" s="11" t="s">
        <v>13</v>
      </c>
      <c r="F602" s="11">
        <v>128.41999999999999</v>
      </c>
      <c r="G602" s="11">
        <v>566289937</v>
      </c>
      <c r="H602" s="11">
        <v>3</v>
      </c>
      <c r="I602" s="11">
        <f>SalesData[[#This Row],[Price]]*SalesData[[#This Row],[Quantity]]</f>
        <v>385.26</v>
      </c>
      <c r="J602" s="11" t="str">
        <f t="shared" si="9"/>
        <v>Low</v>
      </c>
      <c r="K602" s="21" t="s">
        <v>290</v>
      </c>
    </row>
    <row r="603" spans="1:11">
      <c r="A603" s="10">
        <v>43773</v>
      </c>
      <c r="B603" s="11" t="s">
        <v>9</v>
      </c>
      <c r="C603" s="11">
        <v>1004857</v>
      </c>
      <c r="D603" s="11" t="s">
        <v>11</v>
      </c>
      <c r="E603" s="11" t="s">
        <v>13</v>
      </c>
      <c r="F603" s="11">
        <v>128.41999999999999</v>
      </c>
      <c r="G603" s="11">
        <v>514405513</v>
      </c>
      <c r="H603" s="11">
        <v>2</v>
      </c>
      <c r="I603" s="11">
        <f>SalesData[[#This Row],[Price]]*SalesData[[#This Row],[Quantity]]</f>
        <v>256.83999999999997</v>
      </c>
      <c r="J603" s="11" t="str">
        <f t="shared" si="9"/>
        <v>Low</v>
      </c>
      <c r="K603" s="21" t="s">
        <v>290</v>
      </c>
    </row>
    <row r="604" spans="1:11">
      <c r="A604" s="10">
        <v>43781</v>
      </c>
      <c r="B604" s="11" t="s">
        <v>9</v>
      </c>
      <c r="C604" s="11">
        <v>1004856</v>
      </c>
      <c r="D604" s="11" t="s">
        <v>11</v>
      </c>
      <c r="E604" s="11" t="s">
        <v>13</v>
      </c>
      <c r="F604" s="11">
        <v>128.41999999999999</v>
      </c>
      <c r="G604" s="11">
        <v>549527991</v>
      </c>
      <c r="H604" s="11">
        <v>3</v>
      </c>
      <c r="I604" s="11">
        <f>SalesData[[#This Row],[Price]]*SalesData[[#This Row],[Quantity]]</f>
        <v>385.26</v>
      </c>
      <c r="J604" s="11" t="str">
        <f t="shared" si="9"/>
        <v>Low</v>
      </c>
      <c r="K604" s="21" t="s">
        <v>290</v>
      </c>
    </row>
    <row r="605" spans="1:11">
      <c r="A605" s="10">
        <v>43784</v>
      </c>
      <c r="B605" s="11" t="s">
        <v>9</v>
      </c>
      <c r="C605" s="11">
        <v>1004856</v>
      </c>
      <c r="D605" s="11" t="s">
        <v>11</v>
      </c>
      <c r="E605" s="11" t="s">
        <v>13</v>
      </c>
      <c r="F605" s="11">
        <v>128.41999999999999</v>
      </c>
      <c r="G605" s="11">
        <v>559024625</v>
      </c>
      <c r="H605" s="11">
        <v>2</v>
      </c>
      <c r="I605" s="11">
        <f>SalesData[[#This Row],[Price]]*SalesData[[#This Row],[Quantity]]</f>
        <v>256.83999999999997</v>
      </c>
      <c r="J605" s="11" t="str">
        <f t="shared" si="9"/>
        <v>Low</v>
      </c>
      <c r="K605" s="21" t="s">
        <v>290</v>
      </c>
    </row>
    <row r="606" spans="1:11">
      <c r="A606" s="10">
        <v>43784</v>
      </c>
      <c r="B606" s="11" t="s">
        <v>9</v>
      </c>
      <c r="C606" s="11">
        <v>1004856</v>
      </c>
      <c r="D606" s="11" t="s">
        <v>11</v>
      </c>
      <c r="E606" s="11" t="s">
        <v>13</v>
      </c>
      <c r="F606" s="11">
        <v>128.41999999999999</v>
      </c>
      <c r="G606" s="11">
        <v>559396643</v>
      </c>
      <c r="H606" s="11">
        <v>5</v>
      </c>
      <c r="I606" s="11">
        <f>SalesData[[#This Row],[Price]]*SalesData[[#This Row],[Quantity]]</f>
        <v>642.09999999999991</v>
      </c>
      <c r="J606" s="11" t="str">
        <f t="shared" si="9"/>
        <v>Low</v>
      </c>
      <c r="K606" s="21" t="s">
        <v>290</v>
      </c>
    </row>
    <row r="607" spans="1:11">
      <c r="A607" s="10">
        <v>43783</v>
      </c>
      <c r="B607" s="11" t="s">
        <v>9</v>
      </c>
      <c r="C607" s="11">
        <v>1004856</v>
      </c>
      <c r="D607" s="11" t="s">
        <v>11</v>
      </c>
      <c r="E607" s="11" t="s">
        <v>13</v>
      </c>
      <c r="F607" s="11">
        <v>128.41999999999999</v>
      </c>
      <c r="G607" s="11">
        <v>524130391</v>
      </c>
      <c r="H607" s="11">
        <v>1</v>
      </c>
      <c r="I607" s="11">
        <f>SalesData[[#This Row],[Price]]*SalesData[[#This Row],[Quantity]]</f>
        <v>128.41999999999999</v>
      </c>
      <c r="J607" s="11" t="str">
        <f t="shared" si="9"/>
        <v>Low</v>
      </c>
      <c r="K607" s="21" t="s">
        <v>290</v>
      </c>
    </row>
    <row r="608" spans="1:11">
      <c r="A608" s="10">
        <v>43783</v>
      </c>
      <c r="B608" s="11" t="s">
        <v>9</v>
      </c>
      <c r="C608" s="11">
        <v>1004856</v>
      </c>
      <c r="D608" s="11" t="s">
        <v>11</v>
      </c>
      <c r="E608" s="11" t="s">
        <v>13</v>
      </c>
      <c r="F608" s="11">
        <v>128.41999999999999</v>
      </c>
      <c r="G608" s="11">
        <v>543691173</v>
      </c>
      <c r="H608" s="11">
        <v>1</v>
      </c>
      <c r="I608" s="11">
        <f>SalesData[[#This Row],[Price]]*SalesData[[#This Row],[Quantity]]</f>
        <v>128.41999999999999</v>
      </c>
      <c r="J608" s="11" t="str">
        <f t="shared" si="9"/>
        <v>Low</v>
      </c>
      <c r="K608" s="21" t="s">
        <v>290</v>
      </c>
    </row>
    <row r="609" spans="1:11">
      <c r="A609" s="10">
        <v>43773</v>
      </c>
      <c r="B609" s="11" t="s">
        <v>9</v>
      </c>
      <c r="C609" s="11">
        <v>1004856</v>
      </c>
      <c r="D609" s="11" t="s">
        <v>11</v>
      </c>
      <c r="E609" s="11" t="s">
        <v>13</v>
      </c>
      <c r="F609" s="11">
        <v>128.41999999999999</v>
      </c>
      <c r="G609" s="11">
        <v>565626042</v>
      </c>
      <c r="H609" s="11">
        <v>1</v>
      </c>
      <c r="I609" s="11">
        <f>SalesData[[#This Row],[Price]]*SalesData[[#This Row],[Quantity]]</f>
        <v>128.41999999999999</v>
      </c>
      <c r="J609" s="11" t="str">
        <f t="shared" si="9"/>
        <v>Low</v>
      </c>
      <c r="K609" s="21" t="s">
        <v>290</v>
      </c>
    </row>
    <row r="610" spans="1:11">
      <c r="A610" s="10">
        <v>43784</v>
      </c>
      <c r="B610" s="11" t="s">
        <v>9</v>
      </c>
      <c r="C610" s="11">
        <v>1004856</v>
      </c>
      <c r="D610" s="11" t="s">
        <v>11</v>
      </c>
      <c r="E610" s="11" t="s">
        <v>13</v>
      </c>
      <c r="F610" s="11">
        <v>128.41999999999999</v>
      </c>
      <c r="G610" s="11">
        <v>523238909</v>
      </c>
      <c r="H610" s="11">
        <v>4</v>
      </c>
      <c r="I610" s="11">
        <f>SalesData[[#This Row],[Price]]*SalesData[[#This Row],[Quantity]]</f>
        <v>513.67999999999995</v>
      </c>
      <c r="J610" s="11" t="str">
        <f t="shared" si="9"/>
        <v>Low</v>
      </c>
      <c r="K610" s="21" t="s">
        <v>290</v>
      </c>
    </row>
    <row r="611" spans="1:11">
      <c r="A611" s="10">
        <v>43778</v>
      </c>
      <c r="B611" s="11" t="s">
        <v>9</v>
      </c>
      <c r="C611" s="11">
        <v>1004856</v>
      </c>
      <c r="D611" s="11" t="s">
        <v>11</v>
      </c>
      <c r="E611" s="11" t="s">
        <v>13</v>
      </c>
      <c r="F611" s="11">
        <v>128.41999999999999</v>
      </c>
      <c r="G611" s="11">
        <v>564549977</v>
      </c>
      <c r="H611" s="11">
        <v>3</v>
      </c>
      <c r="I611" s="11">
        <f>SalesData[[#This Row],[Price]]*SalesData[[#This Row],[Quantity]]</f>
        <v>385.26</v>
      </c>
      <c r="J611" s="11" t="str">
        <f t="shared" si="9"/>
        <v>Low</v>
      </c>
      <c r="K611" s="21" t="s">
        <v>290</v>
      </c>
    </row>
    <row r="612" spans="1:11">
      <c r="A612" s="10">
        <v>43776</v>
      </c>
      <c r="B612" s="11" t="s">
        <v>9</v>
      </c>
      <c r="C612" s="11">
        <v>1004856</v>
      </c>
      <c r="D612" s="11" t="s">
        <v>11</v>
      </c>
      <c r="E612" s="11" t="s">
        <v>13</v>
      </c>
      <c r="F612" s="11">
        <v>128.41999999999999</v>
      </c>
      <c r="G612" s="11">
        <v>556688434</v>
      </c>
      <c r="H612" s="11">
        <v>5</v>
      </c>
      <c r="I612" s="11">
        <f>SalesData[[#This Row],[Price]]*SalesData[[#This Row],[Quantity]]</f>
        <v>642.09999999999991</v>
      </c>
      <c r="J612" s="11" t="str">
        <f t="shared" si="9"/>
        <v>Low</v>
      </c>
      <c r="K612" s="21" t="s">
        <v>290</v>
      </c>
    </row>
    <row r="613" spans="1:11">
      <c r="A613" s="10">
        <v>43770</v>
      </c>
      <c r="B613" s="11" t="s">
        <v>9</v>
      </c>
      <c r="C613" s="11">
        <v>1004856</v>
      </c>
      <c r="D613" s="11" t="s">
        <v>11</v>
      </c>
      <c r="E613" s="11" t="s">
        <v>13</v>
      </c>
      <c r="F613" s="11">
        <v>128.41999999999999</v>
      </c>
      <c r="G613" s="11">
        <v>523238909</v>
      </c>
      <c r="H613" s="11">
        <v>3</v>
      </c>
      <c r="I613" s="11">
        <f>SalesData[[#This Row],[Price]]*SalesData[[#This Row],[Quantity]]</f>
        <v>385.26</v>
      </c>
      <c r="J613" s="11" t="str">
        <f t="shared" si="9"/>
        <v>Low</v>
      </c>
      <c r="K613" s="21" t="s">
        <v>290</v>
      </c>
    </row>
    <row r="614" spans="1:11">
      <c r="A614" s="10">
        <v>43773</v>
      </c>
      <c r="B614" s="11" t="s">
        <v>9</v>
      </c>
      <c r="C614" s="11">
        <v>1004856</v>
      </c>
      <c r="D614" s="11" t="s">
        <v>11</v>
      </c>
      <c r="E614" s="11" t="s">
        <v>13</v>
      </c>
      <c r="F614" s="11">
        <v>128.41999999999999</v>
      </c>
      <c r="G614" s="11">
        <v>564133858</v>
      </c>
      <c r="H614" s="11">
        <v>5</v>
      </c>
      <c r="I614" s="11">
        <f>SalesData[[#This Row],[Price]]*SalesData[[#This Row],[Quantity]]</f>
        <v>642.09999999999991</v>
      </c>
      <c r="J614" s="11" t="str">
        <f t="shared" si="9"/>
        <v>Low</v>
      </c>
      <c r="K614" s="21" t="s">
        <v>290</v>
      </c>
    </row>
    <row r="615" spans="1:11">
      <c r="A615" s="10">
        <v>43771</v>
      </c>
      <c r="B615" s="11" t="s">
        <v>9</v>
      </c>
      <c r="C615" s="11">
        <v>1004856</v>
      </c>
      <c r="D615" s="11" t="s">
        <v>11</v>
      </c>
      <c r="E615" s="11" t="s">
        <v>13</v>
      </c>
      <c r="F615" s="11">
        <v>128.41999999999999</v>
      </c>
      <c r="G615" s="11">
        <v>546956050</v>
      </c>
      <c r="H615" s="11">
        <v>1</v>
      </c>
      <c r="I615" s="11">
        <f>SalesData[[#This Row],[Price]]*SalesData[[#This Row],[Quantity]]</f>
        <v>128.41999999999999</v>
      </c>
      <c r="J615" s="11" t="str">
        <f t="shared" si="9"/>
        <v>Low</v>
      </c>
      <c r="K615" s="21" t="s">
        <v>290</v>
      </c>
    </row>
    <row r="616" spans="1:11">
      <c r="A616" s="10">
        <v>43782</v>
      </c>
      <c r="B616" s="11" t="s">
        <v>9</v>
      </c>
      <c r="C616" s="11">
        <v>1004856</v>
      </c>
      <c r="D616" s="11" t="s">
        <v>11</v>
      </c>
      <c r="E616" s="11" t="s">
        <v>13</v>
      </c>
      <c r="F616" s="11">
        <v>128.41999999999999</v>
      </c>
      <c r="G616" s="11">
        <v>563572407</v>
      </c>
      <c r="H616" s="11">
        <v>5</v>
      </c>
      <c r="I616" s="11">
        <f>SalesData[[#This Row],[Price]]*SalesData[[#This Row],[Quantity]]</f>
        <v>642.09999999999991</v>
      </c>
      <c r="J616" s="11" t="str">
        <f t="shared" si="9"/>
        <v>Low</v>
      </c>
      <c r="K616" s="21" t="s">
        <v>290</v>
      </c>
    </row>
    <row r="617" spans="1:11">
      <c r="A617" s="10">
        <v>43780</v>
      </c>
      <c r="B617" s="11" t="s">
        <v>9</v>
      </c>
      <c r="C617" s="11">
        <v>1004856</v>
      </c>
      <c r="D617" s="11" t="s">
        <v>11</v>
      </c>
      <c r="E617" s="11" t="s">
        <v>13</v>
      </c>
      <c r="F617" s="11">
        <v>128.41999999999999</v>
      </c>
      <c r="G617" s="11">
        <v>519128349</v>
      </c>
      <c r="H617" s="11">
        <v>2</v>
      </c>
      <c r="I617" s="11">
        <f>SalesData[[#This Row],[Price]]*SalesData[[#This Row],[Quantity]]</f>
        <v>256.83999999999997</v>
      </c>
      <c r="J617" s="11" t="str">
        <f t="shared" si="9"/>
        <v>Low</v>
      </c>
      <c r="K617" s="21" t="s">
        <v>290</v>
      </c>
    </row>
    <row r="618" spans="1:11">
      <c r="A618" s="10">
        <v>43782</v>
      </c>
      <c r="B618" s="11" t="s">
        <v>9</v>
      </c>
      <c r="C618" s="11">
        <v>1004856</v>
      </c>
      <c r="D618" s="11" t="s">
        <v>11</v>
      </c>
      <c r="E618" s="11" t="s">
        <v>13</v>
      </c>
      <c r="F618" s="11">
        <v>128.41999999999999</v>
      </c>
      <c r="G618" s="11">
        <v>516487172</v>
      </c>
      <c r="H618" s="11">
        <v>1</v>
      </c>
      <c r="I618" s="11">
        <f>SalesData[[#This Row],[Price]]*SalesData[[#This Row],[Quantity]]</f>
        <v>128.41999999999999</v>
      </c>
      <c r="J618" s="11" t="str">
        <f t="shared" si="9"/>
        <v>Low</v>
      </c>
      <c r="K618" s="21" t="s">
        <v>290</v>
      </c>
    </row>
    <row r="619" spans="1:11">
      <c r="A619" s="10">
        <v>43781</v>
      </c>
      <c r="B619" s="11" t="s">
        <v>9</v>
      </c>
      <c r="C619" s="11">
        <v>1004856</v>
      </c>
      <c r="D619" s="11" t="s">
        <v>11</v>
      </c>
      <c r="E619" s="11" t="s">
        <v>13</v>
      </c>
      <c r="F619" s="11">
        <v>128.41999999999999</v>
      </c>
      <c r="G619" s="11">
        <v>516239312</v>
      </c>
      <c r="H619" s="11">
        <v>2</v>
      </c>
      <c r="I619" s="11">
        <f>SalesData[[#This Row],[Price]]*SalesData[[#This Row],[Quantity]]</f>
        <v>256.83999999999997</v>
      </c>
      <c r="J619" s="11" t="str">
        <f t="shared" si="9"/>
        <v>Low</v>
      </c>
      <c r="K619" s="21" t="s">
        <v>290</v>
      </c>
    </row>
    <row r="620" spans="1:11">
      <c r="A620" s="10">
        <v>43783</v>
      </c>
      <c r="B620" s="11" t="s">
        <v>9</v>
      </c>
      <c r="C620" s="11">
        <v>1004856</v>
      </c>
      <c r="D620" s="11" t="s">
        <v>11</v>
      </c>
      <c r="E620" s="11" t="s">
        <v>13</v>
      </c>
      <c r="F620" s="11">
        <v>128.41999999999999</v>
      </c>
      <c r="G620" s="11">
        <v>547070830</v>
      </c>
      <c r="H620" s="11">
        <v>1</v>
      </c>
      <c r="I620" s="11">
        <f>SalesData[[#This Row],[Price]]*SalesData[[#This Row],[Quantity]]</f>
        <v>128.41999999999999</v>
      </c>
      <c r="J620" s="11" t="str">
        <f t="shared" si="9"/>
        <v>Low</v>
      </c>
      <c r="K620" s="21" t="s">
        <v>290</v>
      </c>
    </row>
    <row r="621" spans="1:11">
      <c r="A621" s="10">
        <v>43775</v>
      </c>
      <c r="B621" s="11" t="s">
        <v>9</v>
      </c>
      <c r="C621" s="11">
        <v>1004856</v>
      </c>
      <c r="D621" s="11" t="s">
        <v>11</v>
      </c>
      <c r="E621" s="11" t="s">
        <v>13</v>
      </c>
      <c r="F621" s="11">
        <v>128.41999999999999</v>
      </c>
      <c r="G621" s="11">
        <v>538473314</v>
      </c>
      <c r="H621" s="11">
        <v>4</v>
      </c>
      <c r="I621" s="11">
        <f>SalesData[[#This Row],[Price]]*SalesData[[#This Row],[Quantity]]</f>
        <v>513.67999999999995</v>
      </c>
      <c r="J621" s="11" t="str">
        <f t="shared" si="9"/>
        <v>Low</v>
      </c>
      <c r="K621" s="21" t="s">
        <v>290</v>
      </c>
    </row>
    <row r="622" spans="1:11">
      <c r="A622" s="10">
        <v>43773</v>
      </c>
      <c r="B622" s="11" t="s">
        <v>9</v>
      </c>
      <c r="C622" s="11">
        <v>1004856</v>
      </c>
      <c r="D622" s="11" t="s">
        <v>11</v>
      </c>
      <c r="E622" s="11" t="s">
        <v>13</v>
      </c>
      <c r="F622" s="11">
        <v>128.41999999999999</v>
      </c>
      <c r="G622" s="11">
        <v>565612044</v>
      </c>
      <c r="H622" s="11">
        <v>5</v>
      </c>
      <c r="I622" s="11">
        <f>SalesData[[#This Row],[Price]]*SalesData[[#This Row],[Quantity]]</f>
        <v>642.09999999999991</v>
      </c>
      <c r="J622" s="11" t="str">
        <f t="shared" si="9"/>
        <v>Low</v>
      </c>
      <c r="K622" s="21" t="s">
        <v>290</v>
      </c>
    </row>
    <row r="623" spans="1:11">
      <c r="A623" s="10">
        <v>43776</v>
      </c>
      <c r="B623" s="11" t="s">
        <v>9</v>
      </c>
      <c r="C623" s="11">
        <v>1004856</v>
      </c>
      <c r="D623" s="11" t="s">
        <v>11</v>
      </c>
      <c r="E623" s="11" t="s">
        <v>13</v>
      </c>
      <c r="F623" s="11">
        <v>128.41999999999999</v>
      </c>
      <c r="G623" s="11">
        <v>560828134</v>
      </c>
      <c r="H623" s="11">
        <v>4</v>
      </c>
      <c r="I623" s="11">
        <f>SalesData[[#This Row],[Price]]*SalesData[[#This Row],[Quantity]]</f>
        <v>513.67999999999995</v>
      </c>
      <c r="J623" s="11" t="str">
        <f t="shared" si="9"/>
        <v>Low</v>
      </c>
      <c r="K623" s="21" t="s">
        <v>290</v>
      </c>
    </row>
    <row r="624" spans="1:11">
      <c r="A624" s="10">
        <v>43783</v>
      </c>
      <c r="B624" s="11" t="s">
        <v>9</v>
      </c>
      <c r="C624" s="11">
        <v>1004857</v>
      </c>
      <c r="D624" s="11" t="s">
        <v>11</v>
      </c>
      <c r="E624" s="11" t="s">
        <v>13</v>
      </c>
      <c r="F624" s="11">
        <v>128.41999999999999</v>
      </c>
      <c r="G624" s="11">
        <v>543647716</v>
      </c>
      <c r="H624" s="11">
        <v>3</v>
      </c>
      <c r="I624" s="11">
        <f>SalesData[[#This Row],[Price]]*SalesData[[#This Row],[Quantity]]</f>
        <v>385.26</v>
      </c>
      <c r="J624" s="11" t="str">
        <f t="shared" si="9"/>
        <v>Low</v>
      </c>
      <c r="K624" s="21" t="s">
        <v>290</v>
      </c>
    </row>
    <row r="625" spans="1:11">
      <c r="A625" s="10">
        <v>43773</v>
      </c>
      <c r="B625" s="11" t="s">
        <v>9</v>
      </c>
      <c r="C625" s="11">
        <v>1004856</v>
      </c>
      <c r="D625" s="11" t="s">
        <v>11</v>
      </c>
      <c r="E625" s="11" t="s">
        <v>13</v>
      </c>
      <c r="F625" s="11">
        <v>128.41999999999999</v>
      </c>
      <c r="G625" s="11">
        <v>560328829</v>
      </c>
      <c r="H625" s="11">
        <v>3</v>
      </c>
      <c r="I625" s="11">
        <f>SalesData[[#This Row],[Price]]*SalesData[[#This Row],[Quantity]]</f>
        <v>385.26</v>
      </c>
      <c r="J625" s="11" t="str">
        <f t="shared" si="9"/>
        <v>Low</v>
      </c>
      <c r="K625" s="21" t="s">
        <v>290</v>
      </c>
    </row>
    <row r="626" spans="1:11">
      <c r="A626" s="10">
        <v>43781</v>
      </c>
      <c r="B626" s="11" t="s">
        <v>9</v>
      </c>
      <c r="C626" s="11">
        <v>1004856</v>
      </c>
      <c r="D626" s="11" t="s">
        <v>11</v>
      </c>
      <c r="E626" s="11" t="s">
        <v>13</v>
      </c>
      <c r="F626" s="11">
        <v>128.41999999999999</v>
      </c>
      <c r="G626" s="11">
        <v>514647259</v>
      </c>
      <c r="H626" s="11">
        <v>1</v>
      </c>
      <c r="I626" s="11">
        <f>SalesData[[#This Row],[Price]]*SalesData[[#This Row],[Quantity]]</f>
        <v>128.41999999999999</v>
      </c>
      <c r="J626" s="11" t="str">
        <f t="shared" si="9"/>
        <v>Low</v>
      </c>
      <c r="K626" s="21" t="s">
        <v>290</v>
      </c>
    </row>
    <row r="627" spans="1:11">
      <c r="A627" s="10">
        <v>43782</v>
      </c>
      <c r="B627" s="11" t="s">
        <v>9</v>
      </c>
      <c r="C627" s="11">
        <v>1004856</v>
      </c>
      <c r="D627" s="11" t="s">
        <v>11</v>
      </c>
      <c r="E627" s="11" t="s">
        <v>13</v>
      </c>
      <c r="F627" s="11">
        <v>128.41999999999999</v>
      </c>
      <c r="G627" s="11">
        <v>566302095</v>
      </c>
      <c r="H627" s="11">
        <v>1</v>
      </c>
      <c r="I627" s="11">
        <f>SalesData[[#This Row],[Price]]*SalesData[[#This Row],[Quantity]]</f>
        <v>128.41999999999999</v>
      </c>
      <c r="J627" s="11" t="str">
        <f t="shared" si="9"/>
        <v>Low</v>
      </c>
      <c r="K627" s="21" t="s">
        <v>290</v>
      </c>
    </row>
    <row r="628" spans="1:11">
      <c r="A628" s="10">
        <v>43776</v>
      </c>
      <c r="B628" s="11" t="s">
        <v>9</v>
      </c>
      <c r="C628" s="11">
        <v>1004856</v>
      </c>
      <c r="D628" s="11" t="s">
        <v>11</v>
      </c>
      <c r="E628" s="11" t="s">
        <v>13</v>
      </c>
      <c r="F628" s="11">
        <v>128.41999999999999</v>
      </c>
      <c r="G628" s="11">
        <v>559668218</v>
      </c>
      <c r="H628" s="11">
        <v>2</v>
      </c>
      <c r="I628" s="11">
        <f>SalesData[[#This Row],[Price]]*SalesData[[#This Row],[Quantity]]</f>
        <v>256.83999999999997</v>
      </c>
      <c r="J628" s="11" t="str">
        <f t="shared" si="9"/>
        <v>Low</v>
      </c>
      <c r="K628" s="21" t="s">
        <v>290</v>
      </c>
    </row>
    <row r="629" spans="1:11">
      <c r="A629" s="10">
        <v>43779</v>
      </c>
      <c r="B629" s="11" t="s">
        <v>9</v>
      </c>
      <c r="C629" s="11">
        <v>1004856</v>
      </c>
      <c r="D629" s="11" t="s">
        <v>11</v>
      </c>
      <c r="E629" s="11" t="s">
        <v>13</v>
      </c>
      <c r="F629" s="11">
        <v>128.41999999999999</v>
      </c>
      <c r="G629" s="11">
        <v>542368013</v>
      </c>
      <c r="H629" s="11">
        <v>2</v>
      </c>
      <c r="I629" s="11">
        <f>SalesData[[#This Row],[Price]]*SalesData[[#This Row],[Quantity]]</f>
        <v>256.83999999999997</v>
      </c>
      <c r="J629" s="11" t="str">
        <f t="shared" si="9"/>
        <v>Low</v>
      </c>
      <c r="K629" s="21" t="s">
        <v>290</v>
      </c>
    </row>
    <row r="630" spans="1:11">
      <c r="A630" s="10">
        <v>43776</v>
      </c>
      <c r="B630" s="11" t="s">
        <v>9</v>
      </c>
      <c r="C630" s="11">
        <v>1004857</v>
      </c>
      <c r="D630" s="11" t="s">
        <v>11</v>
      </c>
      <c r="E630" s="11" t="s">
        <v>13</v>
      </c>
      <c r="F630" s="11">
        <v>128.41999999999999</v>
      </c>
      <c r="G630" s="11">
        <v>517025960</v>
      </c>
      <c r="H630" s="11">
        <v>5</v>
      </c>
      <c r="I630" s="11">
        <f>SalesData[[#This Row],[Price]]*SalesData[[#This Row],[Quantity]]</f>
        <v>642.09999999999991</v>
      </c>
      <c r="J630" s="11" t="str">
        <f t="shared" si="9"/>
        <v>Low</v>
      </c>
      <c r="K630" s="21" t="s">
        <v>290</v>
      </c>
    </row>
    <row r="631" spans="1:11">
      <c r="A631" s="10">
        <v>43784</v>
      </c>
      <c r="B631" s="11" t="s">
        <v>9</v>
      </c>
      <c r="C631" s="11">
        <v>1004856</v>
      </c>
      <c r="D631" s="11" t="s">
        <v>11</v>
      </c>
      <c r="E631" s="11" t="s">
        <v>13</v>
      </c>
      <c r="F631" s="11">
        <v>128.41999999999999</v>
      </c>
      <c r="G631" s="11">
        <v>550726115</v>
      </c>
      <c r="H631" s="11">
        <v>5</v>
      </c>
      <c r="I631" s="11">
        <f>SalesData[[#This Row],[Price]]*SalesData[[#This Row],[Quantity]]</f>
        <v>642.09999999999991</v>
      </c>
      <c r="J631" s="11" t="str">
        <f t="shared" si="9"/>
        <v>Low</v>
      </c>
      <c r="K631" s="21" t="s">
        <v>290</v>
      </c>
    </row>
    <row r="632" spans="1:11">
      <c r="A632" s="10">
        <v>43774</v>
      </c>
      <c r="B632" s="11" t="s">
        <v>9</v>
      </c>
      <c r="C632" s="11">
        <v>1004856</v>
      </c>
      <c r="D632" s="11" t="s">
        <v>11</v>
      </c>
      <c r="E632" s="11" t="s">
        <v>13</v>
      </c>
      <c r="F632" s="11">
        <v>128.41999999999999</v>
      </c>
      <c r="G632" s="11">
        <v>562522952</v>
      </c>
      <c r="H632" s="11">
        <v>3</v>
      </c>
      <c r="I632" s="11">
        <f>SalesData[[#This Row],[Price]]*SalesData[[#This Row],[Quantity]]</f>
        <v>385.26</v>
      </c>
      <c r="J632" s="11" t="str">
        <f t="shared" si="9"/>
        <v>Low</v>
      </c>
      <c r="K632" s="21" t="s">
        <v>290</v>
      </c>
    </row>
    <row r="633" spans="1:11">
      <c r="A633" s="10">
        <v>43780</v>
      </c>
      <c r="B633" s="11" t="s">
        <v>9</v>
      </c>
      <c r="C633" s="11">
        <v>1004856</v>
      </c>
      <c r="D633" s="11" t="s">
        <v>11</v>
      </c>
      <c r="E633" s="11" t="s">
        <v>13</v>
      </c>
      <c r="F633" s="11">
        <v>128.41999999999999</v>
      </c>
      <c r="G633" s="11">
        <v>543272936</v>
      </c>
      <c r="H633" s="11">
        <v>5</v>
      </c>
      <c r="I633" s="11">
        <f>SalesData[[#This Row],[Price]]*SalesData[[#This Row],[Quantity]]</f>
        <v>642.09999999999991</v>
      </c>
      <c r="J633" s="11" t="str">
        <f t="shared" si="9"/>
        <v>Low</v>
      </c>
      <c r="K633" s="21" t="s">
        <v>290</v>
      </c>
    </row>
    <row r="634" spans="1:11">
      <c r="A634" s="10">
        <v>43775</v>
      </c>
      <c r="B634" s="11" t="s">
        <v>9</v>
      </c>
      <c r="C634" s="11">
        <v>1004856</v>
      </c>
      <c r="D634" s="11" t="s">
        <v>11</v>
      </c>
      <c r="E634" s="11" t="s">
        <v>13</v>
      </c>
      <c r="F634" s="11">
        <v>128.41999999999999</v>
      </c>
      <c r="G634" s="11">
        <v>548096901</v>
      </c>
      <c r="H634" s="11">
        <v>1</v>
      </c>
      <c r="I634" s="11">
        <f>SalesData[[#This Row],[Price]]*SalesData[[#This Row],[Quantity]]</f>
        <v>128.41999999999999</v>
      </c>
      <c r="J634" s="11" t="str">
        <f t="shared" si="9"/>
        <v>Low</v>
      </c>
      <c r="K634" s="21" t="s">
        <v>290</v>
      </c>
    </row>
    <row r="635" spans="1:11">
      <c r="A635" s="10">
        <v>43779</v>
      </c>
      <c r="B635" s="11" t="s">
        <v>9</v>
      </c>
      <c r="C635" s="11">
        <v>1004856</v>
      </c>
      <c r="D635" s="11" t="s">
        <v>11</v>
      </c>
      <c r="E635" s="11" t="s">
        <v>13</v>
      </c>
      <c r="F635" s="11">
        <v>128.41999999999999</v>
      </c>
      <c r="G635" s="11">
        <v>566303863</v>
      </c>
      <c r="H635" s="11">
        <v>2</v>
      </c>
      <c r="I635" s="11">
        <f>SalesData[[#This Row],[Price]]*SalesData[[#This Row],[Quantity]]</f>
        <v>256.83999999999997</v>
      </c>
      <c r="J635" s="11" t="str">
        <f t="shared" si="9"/>
        <v>Low</v>
      </c>
      <c r="K635" s="21" t="s">
        <v>290</v>
      </c>
    </row>
    <row r="636" spans="1:11">
      <c r="A636" s="10">
        <v>43772</v>
      </c>
      <c r="B636" s="11" t="s">
        <v>9</v>
      </c>
      <c r="C636" s="11">
        <v>1004856</v>
      </c>
      <c r="D636" s="11" t="s">
        <v>11</v>
      </c>
      <c r="E636" s="11" t="s">
        <v>13</v>
      </c>
      <c r="F636" s="11">
        <v>128.41999999999999</v>
      </c>
      <c r="G636" s="11">
        <v>556084439</v>
      </c>
      <c r="H636" s="11">
        <v>1</v>
      </c>
      <c r="I636" s="11">
        <f>SalesData[[#This Row],[Price]]*SalesData[[#This Row],[Quantity]]</f>
        <v>128.41999999999999</v>
      </c>
      <c r="J636" s="11" t="str">
        <f t="shared" si="9"/>
        <v>Low</v>
      </c>
      <c r="K636" s="21" t="s">
        <v>290</v>
      </c>
    </row>
    <row r="637" spans="1:11">
      <c r="A637" s="10">
        <v>43776</v>
      </c>
      <c r="B637" s="11" t="s">
        <v>9</v>
      </c>
      <c r="C637" s="11">
        <v>2401760</v>
      </c>
      <c r="D637" s="11" t="s">
        <v>139</v>
      </c>
      <c r="E637" s="11" t="s">
        <v>29</v>
      </c>
      <c r="F637" s="11">
        <v>127.39</v>
      </c>
      <c r="G637" s="11">
        <v>516725758</v>
      </c>
      <c r="H637" s="11">
        <v>2</v>
      </c>
      <c r="I637" s="11">
        <f>SalesData[[#This Row],[Price]]*SalesData[[#This Row],[Quantity]]</f>
        <v>254.78</v>
      </c>
      <c r="J637" s="11" t="str">
        <f t="shared" si="9"/>
        <v>Low</v>
      </c>
      <c r="K637" s="21" t="s">
        <v>292</v>
      </c>
    </row>
    <row r="638" spans="1:11">
      <c r="A638" s="10">
        <v>43777</v>
      </c>
      <c r="B638" s="11" t="s">
        <v>9</v>
      </c>
      <c r="C638" s="11">
        <v>1004723</v>
      </c>
      <c r="D638" s="11" t="s">
        <v>11</v>
      </c>
      <c r="E638" s="11" t="s">
        <v>60</v>
      </c>
      <c r="F638" s="11">
        <v>125.61</v>
      </c>
      <c r="G638" s="11">
        <v>534771396</v>
      </c>
      <c r="H638" s="11">
        <v>4</v>
      </c>
      <c r="I638" s="11">
        <f>SalesData[[#This Row],[Price]]*SalesData[[#This Row],[Quantity]]</f>
        <v>502.44</v>
      </c>
      <c r="J638" s="11" t="str">
        <f t="shared" si="9"/>
        <v>Low</v>
      </c>
      <c r="K638" s="21" t="s">
        <v>290</v>
      </c>
    </row>
    <row r="639" spans="1:11">
      <c r="A639" s="10">
        <v>43774</v>
      </c>
      <c r="B639" s="11" t="s">
        <v>9</v>
      </c>
      <c r="C639" s="11">
        <v>1004720</v>
      </c>
      <c r="D639" s="11" t="s">
        <v>11</v>
      </c>
      <c r="E639" s="11" t="s">
        <v>60</v>
      </c>
      <c r="F639" s="11">
        <v>125.61</v>
      </c>
      <c r="G639" s="11">
        <v>565965506</v>
      </c>
      <c r="H639" s="11">
        <v>4</v>
      </c>
      <c r="I639" s="11">
        <f>SalesData[[#This Row],[Price]]*SalesData[[#This Row],[Quantity]]</f>
        <v>502.44</v>
      </c>
      <c r="J639" s="11" t="str">
        <f t="shared" si="9"/>
        <v>Low</v>
      </c>
      <c r="K639" s="21" t="s">
        <v>290</v>
      </c>
    </row>
    <row r="640" spans="1:11">
      <c r="A640" s="10">
        <v>43774</v>
      </c>
      <c r="B640" s="11" t="s">
        <v>9</v>
      </c>
      <c r="C640" s="11">
        <v>1004720</v>
      </c>
      <c r="D640" s="11" t="s">
        <v>11</v>
      </c>
      <c r="E640" s="11" t="s">
        <v>60</v>
      </c>
      <c r="F640" s="11">
        <v>125.61</v>
      </c>
      <c r="G640" s="11">
        <v>512823102</v>
      </c>
      <c r="H640" s="11">
        <v>1</v>
      </c>
      <c r="I640" s="11">
        <f>SalesData[[#This Row],[Price]]*SalesData[[#This Row],[Quantity]]</f>
        <v>125.61</v>
      </c>
      <c r="J640" s="11" t="str">
        <f t="shared" si="9"/>
        <v>Low</v>
      </c>
      <c r="K640" s="21" t="s">
        <v>290</v>
      </c>
    </row>
    <row r="641" spans="1:11">
      <c r="A641" s="10">
        <v>43775</v>
      </c>
      <c r="B641" s="11" t="s">
        <v>9</v>
      </c>
      <c r="C641" s="11">
        <v>26403418</v>
      </c>
      <c r="D641" s="11" t="s">
        <v>235</v>
      </c>
      <c r="E641" s="11" t="s">
        <v>235</v>
      </c>
      <c r="F641" s="11">
        <v>123.81</v>
      </c>
      <c r="G641" s="11">
        <v>543351869</v>
      </c>
      <c r="H641" s="11">
        <v>5</v>
      </c>
      <c r="I641" s="11">
        <f>SalesData[[#This Row],[Price]]*SalesData[[#This Row],[Quantity]]</f>
        <v>619.04999999999995</v>
      </c>
      <c r="J641" s="11" t="str">
        <f t="shared" si="9"/>
        <v>Low</v>
      </c>
      <c r="K641" s="21" t="s">
        <v>235</v>
      </c>
    </row>
    <row r="642" spans="1:11">
      <c r="A642" s="10">
        <v>43773</v>
      </c>
      <c r="B642" s="11" t="s">
        <v>9</v>
      </c>
      <c r="C642" s="11">
        <v>5800823</v>
      </c>
      <c r="D642" s="11" t="s">
        <v>16</v>
      </c>
      <c r="E642" s="11" t="s">
        <v>17</v>
      </c>
      <c r="F642" s="11">
        <v>123.56</v>
      </c>
      <c r="G642" s="11">
        <v>514166940</v>
      </c>
      <c r="H642" s="11">
        <v>5</v>
      </c>
      <c r="I642" s="11">
        <f>SalesData[[#This Row],[Price]]*SalesData[[#This Row],[Quantity]]</f>
        <v>617.79999999999995</v>
      </c>
      <c r="J642" s="11" t="str">
        <f t="shared" ref="J642:J705" si="10">IF(F642&lt;500, "Low", IF(F642&lt;1500, "Medium", "High"))</f>
        <v>Low</v>
      </c>
      <c r="K642" s="21" t="s">
        <v>290</v>
      </c>
    </row>
    <row r="643" spans="1:11">
      <c r="A643" s="10">
        <v>43779</v>
      </c>
      <c r="B643" s="11" t="s">
        <v>9</v>
      </c>
      <c r="C643" s="11">
        <v>12300066</v>
      </c>
      <c r="D643" s="11" t="s">
        <v>116</v>
      </c>
      <c r="E643" s="11" t="s">
        <v>38</v>
      </c>
      <c r="F643" s="11">
        <v>122.14</v>
      </c>
      <c r="G643" s="11">
        <v>515750054</v>
      </c>
      <c r="H643" s="11">
        <v>3</v>
      </c>
      <c r="I643" s="11">
        <f>SalesData[[#This Row],[Price]]*SalesData[[#This Row],[Quantity]]</f>
        <v>366.42</v>
      </c>
      <c r="J643" s="11" t="str">
        <f t="shared" si="10"/>
        <v>Low</v>
      </c>
      <c r="K643" s="21" t="s">
        <v>294</v>
      </c>
    </row>
    <row r="644" spans="1:11">
      <c r="A644" s="10">
        <v>43784</v>
      </c>
      <c r="B644" s="11" t="s">
        <v>9</v>
      </c>
      <c r="C644" s="11">
        <v>6000094</v>
      </c>
      <c r="D644" s="11" t="s">
        <v>211</v>
      </c>
      <c r="E644" s="11" t="s">
        <v>212</v>
      </c>
      <c r="F644" s="11">
        <v>121.24</v>
      </c>
      <c r="G644" s="11">
        <v>513021740</v>
      </c>
      <c r="H644" s="11">
        <v>1</v>
      </c>
      <c r="I644" s="11">
        <f>SalesData[[#This Row],[Price]]*SalesData[[#This Row],[Quantity]]</f>
        <v>121.24</v>
      </c>
      <c r="J644" s="11" t="str">
        <f t="shared" si="10"/>
        <v>Low</v>
      </c>
      <c r="K644" s="21" t="s">
        <v>295</v>
      </c>
    </row>
    <row r="645" spans="1:11">
      <c r="A645" s="10">
        <v>43782</v>
      </c>
      <c r="B645" s="11" t="s">
        <v>9</v>
      </c>
      <c r="C645" s="11">
        <v>38900085</v>
      </c>
      <c r="D645" s="11" t="s">
        <v>235</v>
      </c>
      <c r="E645" s="11" t="s">
        <v>231</v>
      </c>
      <c r="F645" s="11">
        <v>120.98</v>
      </c>
      <c r="G645" s="11">
        <v>517893800</v>
      </c>
      <c r="H645" s="11">
        <v>5</v>
      </c>
      <c r="I645" s="11">
        <f>SalesData[[#This Row],[Price]]*SalesData[[#This Row],[Quantity]]</f>
        <v>604.9</v>
      </c>
      <c r="J645" s="11" t="str">
        <f t="shared" si="10"/>
        <v>Low</v>
      </c>
      <c r="K645" s="21" t="s">
        <v>235</v>
      </c>
    </row>
    <row r="646" spans="1:11">
      <c r="A646" s="10">
        <v>43770</v>
      </c>
      <c r="B646" s="11" t="s">
        <v>9</v>
      </c>
      <c r="C646" s="11">
        <v>2600164</v>
      </c>
      <c r="D646" s="11" t="s">
        <v>235</v>
      </c>
      <c r="E646" s="11" t="s">
        <v>235</v>
      </c>
      <c r="F646" s="11">
        <v>120.72</v>
      </c>
      <c r="G646" s="11">
        <v>566215333</v>
      </c>
      <c r="H646" s="11">
        <v>4</v>
      </c>
      <c r="I646" s="11">
        <f>SalesData[[#This Row],[Price]]*SalesData[[#This Row],[Quantity]]</f>
        <v>482.88</v>
      </c>
      <c r="J646" s="11" t="str">
        <f t="shared" si="10"/>
        <v>Low</v>
      </c>
      <c r="K646" s="21" t="s">
        <v>235</v>
      </c>
    </row>
    <row r="647" spans="1:11">
      <c r="A647" s="10">
        <v>43773</v>
      </c>
      <c r="B647" s="11" t="s">
        <v>9</v>
      </c>
      <c r="C647" s="11">
        <v>12706264</v>
      </c>
      <c r="D647" s="11" t="s">
        <v>235</v>
      </c>
      <c r="E647" s="11" t="s">
        <v>63</v>
      </c>
      <c r="F647" s="11">
        <v>119.95</v>
      </c>
      <c r="G647" s="11">
        <v>564890170</v>
      </c>
      <c r="H647" s="11">
        <v>1</v>
      </c>
      <c r="I647" s="11">
        <f>SalesData[[#This Row],[Price]]*SalesData[[#This Row],[Quantity]]</f>
        <v>119.95</v>
      </c>
      <c r="J647" s="11" t="str">
        <f t="shared" si="10"/>
        <v>Low</v>
      </c>
      <c r="K647" s="21" t="s">
        <v>235</v>
      </c>
    </row>
    <row r="648" spans="1:11">
      <c r="A648" s="10">
        <v>43778</v>
      </c>
      <c r="B648" s="11" t="s">
        <v>9</v>
      </c>
      <c r="C648" s="11">
        <v>2601500</v>
      </c>
      <c r="D648" s="11" t="s">
        <v>235</v>
      </c>
      <c r="E648" s="11" t="s">
        <v>91</v>
      </c>
      <c r="F648" s="11">
        <v>119.95</v>
      </c>
      <c r="G648" s="11">
        <v>514407454</v>
      </c>
      <c r="H648" s="11">
        <v>1</v>
      </c>
      <c r="I648" s="11">
        <f>SalesData[[#This Row],[Price]]*SalesData[[#This Row],[Quantity]]</f>
        <v>119.95</v>
      </c>
      <c r="J648" s="11" t="str">
        <f t="shared" si="10"/>
        <v>Low</v>
      </c>
      <c r="K648" s="21" t="s">
        <v>235</v>
      </c>
    </row>
    <row r="649" spans="1:11">
      <c r="A649" s="10">
        <v>43771</v>
      </c>
      <c r="B649" s="11" t="s">
        <v>9</v>
      </c>
      <c r="C649" s="11">
        <v>30000048</v>
      </c>
      <c r="D649" s="11" t="s">
        <v>18</v>
      </c>
      <c r="E649" s="11" t="s">
        <v>235</v>
      </c>
      <c r="F649" s="11">
        <v>118.9</v>
      </c>
      <c r="G649" s="11">
        <v>554533992</v>
      </c>
      <c r="H649" s="11">
        <v>2</v>
      </c>
      <c r="I649" s="11">
        <f>SalesData[[#This Row],[Price]]*SalesData[[#This Row],[Quantity]]</f>
        <v>237.8</v>
      </c>
      <c r="J649" s="11" t="str">
        <f t="shared" si="10"/>
        <v>Low</v>
      </c>
      <c r="K649" s="21" t="s">
        <v>294</v>
      </c>
    </row>
    <row r="650" spans="1:11">
      <c r="A650" s="10">
        <v>43773</v>
      </c>
      <c r="B650" s="11" t="s">
        <v>9</v>
      </c>
      <c r="C650" s="11">
        <v>17800248</v>
      </c>
      <c r="D650" s="11" t="s">
        <v>24</v>
      </c>
      <c r="E650" s="11" t="s">
        <v>125</v>
      </c>
      <c r="F650" s="11">
        <v>118.01</v>
      </c>
      <c r="G650" s="11">
        <v>516995448</v>
      </c>
      <c r="H650" s="11">
        <v>5</v>
      </c>
      <c r="I650" s="11">
        <f>SalesData[[#This Row],[Price]]*SalesData[[#This Row],[Quantity]]</f>
        <v>590.05000000000007</v>
      </c>
      <c r="J650" s="11" t="str">
        <f t="shared" si="10"/>
        <v>Low</v>
      </c>
      <c r="K650" s="21" t="s">
        <v>291</v>
      </c>
    </row>
    <row r="651" spans="1:11">
      <c r="A651" s="10">
        <v>43783</v>
      </c>
      <c r="B651" s="11" t="s">
        <v>9</v>
      </c>
      <c r="C651" s="11">
        <v>28400559</v>
      </c>
      <c r="D651" s="11" t="s">
        <v>83</v>
      </c>
      <c r="E651" s="11" t="s">
        <v>132</v>
      </c>
      <c r="F651" s="11">
        <v>115.83</v>
      </c>
      <c r="G651" s="11">
        <v>528375191</v>
      </c>
      <c r="H651" s="11">
        <v>4</v>
      </c>
      <c r="I651" s="11">
        <f>SalesData[[#This Row],[Price]]*SalesData[[#This Row],[Quantity]]</f>
        <v>463.32</v>
      </c>
      <c r="J651" s="11" t="str">
        <f t="shared" si="10"/>
        <v>Low</v>
      </c>
      <c r="K651" s="21" t="s">
        <v>296</v>
      </c>
    </row>
    <row r="652" spans="1:11">
      <c r="A652" s="10">
        <v>43772</v>
      </c>
      <c r="B652" s="11" t="s">
        <v>9</v>
      </c>
      <c r="C652" s="11">
        <v>7101815</v>
      </c>
      <c r="D652" s="11" t="s">
        <v>10</v>
      </c>
      <c r="E652" s="11" t="s">
        <v>235</v>
      </c>
      <c r="F652" s="11">
        <v>115.81</v>
      </c>
      <c r="G652" s="11">
        <v>512560016</v>
      </c>
      <c r="H652" s="11">
        <v>4</v>
      </c>
      <c r="I652" s="11">
        <f>SalesData[[#This Row],[Price]]*SalesData[[#This Row],[Quantity]]</f>
        <v>463.24</v>
      </c>
      <c r="J652" s="11" t="str">
        <f t="shared" si="10"/>
        <v>Low</v>
      </c>
      <c r="K652" s="21" t="s">
        <v>293</v>
      </c>
    </row>
    <row r="653" spans="1:11">
      <c r="A653" s="10">
        <v>43781</v>
      </c>
      <c r="B653" s="11" t="s">
        <v>9</v>
      </c>
      <c r="C653" s="11">
        <v>1701038</v>
      </c>
      <c r="D653" s="11" t="s">
        <v>93</v>
      </c>
      <c r="E653" s="11" t="s">
        <v>31</v>
      </c>
      <c r="F653" s="11">
        <v>115.58</v>
      </c>
      <c r="G653" s="11">
        <v>517608836</v>
      </c>
      <c r="H653" s="11">
        <v>4</v>
      </c>
      <c r="I653" s="11">
        <f>SalesData[[#This Row],[Price]]*SalesData[[#This Row],[Quantity]]</f>
        <v>462.32</v>
      </c>
      <c r="J653" s="11" t="str">
        <f t="shared" si="10"/>
        <v>Low</v>
      </c>
      <c r="K653" s="21" t="s">
        <v>291</v>
      </c>
    </row>
    <row r="654" spans="1:11">
      <c r="A654" s="10">
        <v>43783</v>
      </c>
      <c r="B654" s="11" t="s">
        <v>9</v>
      </c>
      <c r="C654" s="11">
        <v>26401452</v>
      </c>
      <c r="D654" s="11" t="s">
        <v>235</v>
      </c>
      <c r="E654" s="11" t="s">
        <v>14</v>
      </c>
      <c r="F654" s="11">
        <v>115.32</v>
      </c>
      <c r="G654" s="11">
        <v>518684874</v>
      </c>
      <c r="H654" s="11">
        <v>4</v>
      </c>
      <c r="I654" s="11">
        <f>SalesData[[#This Row],[Price]]*SalesData[[#This Row],[Quantity]]</f>
        <v>461.28</v>
      </c>
      <c r="J654" s="11" t="str">
        <f t="shared" si="10"/>
        <v>Low</v>
      </c>
      <c r="K654" s="21" t="s">
        <v>235</v>
      </c>
    </row>
    <row r="655" spans="1:11">
      <c r="A655" s="10">
        <v>43781</v>
      </c>
      <c r="B655" s="11" t="s">
        <v>9</v>
      </c>
      <c r="C655" s="11">
        <v>1005232</v>
      </c>
      <c r="D655" s="11" t="s">
        <v>11</v>
      </c>
      <c r="E655" s="11" t="s">
        <v>12</v>
      </c>
      <c r="F655" s="11">
        <v>114.63</v>
      </c>
      <c r="G655" s="11">
        <v>550615591</v>
      </c>
      <c r="H655" s="11">
        <v>4</v>
      </c>
      <c r="I655" s="11">
        <f>SalesData[[#This Row],[Price]]*SalesData[[#This Row],[Quantity]]</f>
        <v>458.52</v>
      </c>
      <c r="J655" s="11" t="str">
        <f t="shared" si="10"/>
        <v>Low</v>
      </c>
      <c r="K655" s="21" t="s">
        <v>290</v>
      </c>
    </row>
    <row r="656" spans="1:11">
      <c r="A656" s="10">
        <v>43772</v>
      </c>
      <c r="B656" s="11" t="s">
        <v>9</v>
      </c>
      <c r="C656" s="11">
        <v>16900195</v>
      </c>
      <c r="D656" s="11" t="s">
        <v>197</v>
      </c>
      <c r="E656" s="11" t="s">
        <v>235</v>
      </c>
      <c r="F656" s="11">
        <v>111.97</v>
      </c>
      <c r="G656" s="11">
        <v>549596987</v>
      </c>
      <c r="H656" s="11">
        <v>3</v>
      </c>
      <c r="I656" s="11">
        <f>SalesData[[#This Row],[Price]]*SalesData[[#This Row],[Quantity]]</f>
        <v>335.90999999999997</v>
      </c>
      <c r="J656" s="11" t="str">
        <f t="shared" si="10"/>
        <v>Low</v>
      </c>
      <c r="K656" s="21" t="s">
        <v>293</v>
      </c>
    </row>
    <row r="657" spans="1:11">
      <c r="A657" s="10">
        <v>43783</v>
      </c>
      <c r="B657" s="11" t="s">
        <v>9</v>
      </c>
      <c r="C657" s="11">
        <v>26200039</v>
      </c>
      <c r="D657" s="11" t="s">
        <v>235</v>
      </c>
      <c r="E657" s="11" t="s">
        <v>235</v>
      </c>
      <c r="F657" s="11">
        <v>110.68</v>
      </c>
      <c r="G657" s="11">
        <v>552059880</v>
      </c>
      <c r="H657" s="11">
        <v>2</v>
      </c>
      <c r="I657" s="11">
        <f>SalesData[[#This Row],[Price]]*SalesData[[#This Row],[Quantity]]</f>
        <v>221.36</v>
      </c>
      <c r="J657" s="11" t="str">
        <f t="shared" si="10"/>
        <v>Low</v>
      </c>
      <c r="K657" s="21" t="s">
        <v>235</v>
      </c>
    </row>
    <row r="658" spans="1:11">
      <c r="A658" s="10">
        <v>43782</v>
      </c>
      <c r="B658" s="11" t="s">
        <v>9</v>
      </c>
      <c r="C658" s="11">
        <v>1004856</v>
      </c>
      <c r="D658" s="11" t="s">
        <v>11</v>
      </c>
      <c r="E658" s="11" t="s">
        <v>13</v>
      </c>
      <c r="F658" s="11">
        <v>128.41999999999999</v>
      </c>
      <c r="G658" s="11">
        <v>514938813</v>
      </c>
      <c r="H658" s="11">
        <v>4</v>
      </c>
      <c r="I658" s="11">
        <f>SalesData[[#This Row],[Price]]*SalesData[[#This Row],[Quantity]]</f>
        <v>513.67999999999995</v>
      </c>
      <c r="J658" s="11" t="str">
        <f t="shared" si="10"/>
        <v>Low</v>
      </c>
      <c r="K658" s="21" t="s">
        <v>290</v>
      </c>
    </row>
    <row r="659" spans="1:11">
      <c r="A659" s="10">
        <v>43782</v>
      </c>
      <c r="B659" s="11" t="s">
        <v>9</v>
      </c>
      <c r="C659" s="11">
        <v>1004856</v>
      </c>
      <c r="D659" s="11" t="s">
        <v>11</v>
      </c>
      <c r="E659" s="11" t="s">
        <v>13</v>
      </c>
      <c r="F659" s="11">
        <v>128.41999999999999</v>
      </c>
      <c r="G659" s="11">
        <v>565302574</v>
      </c>
      <c r="H659" s="11">
        <v>2</v>
      </c>
      <c r="I659" s="11">
        <f>SalesData[[#This Row],[Price]]*SalesData[[#This Row],[Quantity]]</f>
        <v>256.83999999999997</v>
      </c>
      <c r="J659" s="11" t="str">
        <f t="shared" si="10"/>
        <v>Low</v>
      </c>
      <c r="K659" s="21" t="s">
        <v>290</v>
      </c>
    </row>
    <row r="660" spans="1:11">
      <c r="A660" s="10">
        <v>43777</v>
      </c>
      <c r="B660" s="11" t="s">
        <v>9</v>
      </c>
      <c r="C660" s="11">
        <v>1004856</v>
      </c>
      <c r="D660" s="11" t="s">
        <v>11</v>
      </c>
      <c r="E660" s="11" t="s">
        <v>13</v>
      </c>
      <c r="F660" s="11">
        <v>128.41999999999999</v>
      </c>
      <c r="G660" s="11">
        <v>518339445</v>
      </c>
      <c r="H660" s="11">
        <v>4</v>
      </c>
      <c r="I660" s="11">
        <f>SalesData[[#This Row],[Price]]*SalesData[[#This Row],[Quantity]]</f>
        <v>513.67999999999995</v>
      </c>
      <c r="J660" s="11" t="str">
        <f t="shared" si="10"/>
        <v>Low</v>
      </c>
      <c r="K660" s="21" t="s">
        <v>290</v>
      </c>
    </row>
    <row r="661" spans="1:11">
      <c r="A661" s="10">
        <v>43783</v>
      </c>
      <c r="B661" s="11" t="s">
        <v>9</v>
      </c>
      <c r="C661" s="11">
        <v>26401669</v>
      </c>
      <c r="D661" s="11" t="s">
        <v>235</v>
      </c>
      <c r="E661" s="11" t="s">
        <v>14</v>
      </c>
      <c r="F661" s="11">
        <v>109.66</v>
      </c>
      <c r="G661" s="11">
        <v>541854711</v>
      </c>
      <c r="H661" s="11">
        <v>4</v>
      </c>
      <c r="I661" s="11">
        <f>SalesData[[#This Row],[Price]]*SalesData[[#This Row],[Quantity]]</f>
        <v>438.64</v>
      </c>
      <c r="J661" s="11" t="str">
        <f t="shared" si="10"/>
        <v>Low</v>
      </c>
      <c r="K661" s="21" t="s">
        <v>235</v>
      </c>
    </row>
    <row r="662" spans="1:11">
      <c r="A662" s="10">
        <v>43781</v>
      </c>
      <c r="B662" s="11" t="s">
        <v>9</v>
      </c>
      <c r="C662" s="11">
        <v>1200957</v>
      </c>
      <c r="D662" s="11" t="s">
        <v>124</v>
      </c>
      <c r="E662" s="11" t="s">
        <v>13</v>
      </c>
      <c r="F662" s="11">
        <v>110.36</v>
      </c>
      <c r="G662" s="11">
        <v>558099508</v>
      </c>
      <c r="H662" s="11">
        <v>1</v>
      </c>
      <c r="I662" s="11">
        <f>SalesData[[#This Row],[Price]]*SalesData[[#This Row],[Quantity]]</f>
        <v>110.36</v>
      </c>
      <c r="J662" s="11" t="str">
        <f t="shared" si="10"/>
        <v>Low</v>
      </c>
      <c r="K662" s="21" t="s">
        <v>290</v>
      </c>
    </row>
    <row r="663" spans="1:11">
      <c r="A663" s="10">
        <v>43782</v>
      </c>
      <c r="B663" s="11" t="s">
        <v>9</v>
      </c>
      <c r="C663" s="11">
        <v>1004903</v>
      </c>
      <c r="D663" s="11" t="s">
        <v>11</v>
      </c>
      <c r="E663" s="11" t="s">
        <v>60</v>
      </c>
      <c r="F663" s="11">
        <v>108.98</v>
      </c>
      <c r="G663" s="11">
        <v>548837605</v>
      </c>
      <c r="H663" s="11">
        <v>5</v>
      </c>
      <c r="I663" s="11">
        <f>SalesData[[#This Row],[Price]]*SalesData[[#This Row],[Quantity]]</f>
        <v>544.9</v>
      </c>
      <c r="J663" s="11" t="str">
        <f t="shared" si="10"/>
        <v>Low</v>
      </c>
      <c r="K663" s="21" t="s">
        <v>290</v>
      </c>
    </row>
    <row r="664" spans="1:11">
      <c r="A664" s="10">
        <v>43783</v>
      </c>
      <c r="B664" s="11" t="s">
        <v>9</v>
      </c>
      <c r="C664" s="11">
        <v>1004903</v>
      </c>
      <c r="D664" s="11" t="s">
        <v>11</v>
      </c>
      <c r="E664" s="11" t="s">
        <v>60</v>
      </c>
      <c r="F664" s="11">
        <v>108.98</v>
      </c>
      <c r="G664" s="11">
        <v>543574845</v>
      </c>
      <c r="H664" s="11">
        <v>3</v>
      </c>
      <c r="I664" s="11">
        <f>SalesData[[#This Row],[Price]]*SalesData[[#This Row],[Quantity]]</f>
        <v>326.94</v>
      </c>
      <c r="J664" s="11" t="str">
        <f t="shared" si="10"/>
        <v>Low</v>
      </c>
      <c r="K664" s="21" t="s">
        <v>290</v>
      </c>
    </row>
    <row r="665" spans="1:11">
      <c r="A665" s="10">
        <v>43773</v>
      </c>
      <c r="B665" s="11" t="s">
        <v>9</v>
      </c>
      <c r="C665" s="11">
        <v>41200010</v>
      </c>
      <c r="D665" s="11" t="s">
        <v>235</v>
      </c>
      <c r="E665" s="11" t="s">
        <v>234</v>
      </c>
      <c r="F665" s="11">
        <v>108.11</v>
      </c>
      <c r="G665" s="11">
        <v>513162245</v>
      </c>
      <c r="H665" s="11">
        <v>1</v>
      </c>
      <c r="I665" s="11">
        <f>SalesData[[#This Row],[Price]]*SalesData[[#This Row],[Quantity]]</f>
        <v>108.11</v>
      </c>
      <c r="J665" s="11" t="str">
        <f t="shared" si="10"/>
        <v>Low</v>
      </c>
      <c r="K665" s="21" t="s">
        <v>235</v>
      </c>
    </row>
    <row r="666" spans="1:11">
      <c r="A666" s="10">
        <v>43777</v>
      </c>
      <c r="B666" s="11" t="s">
        <v>9</v>
      </c>
      <c r="C666" s="11">
        <v>1200957</v>
      </c>
      <c r="D666" s="11" t="s">
        <v>124</v>
      </c>
      <c r="E666" s="11" t="s">
        <v>13</v>
      </c>
      <c r="F666" s="11">
        <v>110.36</v>
      </c>
      <c r="G666" s="11">
        <v>556325945</v>
      </c>
      <c r="H666" s="11">
        <v>2</v>
      </c>
      <c r="I666" s="11">
        <f>SalesData[[#This Row],[Price]]*SalesData[[#This Row],[Quantity]]</f>
        <v>220.72</v>
      </c>
      <c r="J666" s="11" t="str">
        <f t="shared" si="10"/>
        <v>Low</v>
      </c>
      <c r="K666" s="21" t="s">
        <v>290</v>
      </c>
    </row>
    <row r="667" spans="1:11">
      <c r="A667" s="10">
        <v>43780</v>
      </c>
      <c r="B667" s="11" t="s">
        <v>9</v>
      </c>
      <c r="C667" s="11">
        <v>1200957</v>
      </c>
      <c r="D667" s="11" t="s">
        <v>124</v>
      </c>
      <c r="E667" s="11" t="s">
        <v>13</v>
      </c>
      <c r="F667" s="11">
        <v>110.36</v>
      </c>
      <c r="G667" s="11">
        <v>556325945</v>
      </c>
      <c r="H667" s="11">
        <v>2</v>
      </c>
      <c r="I667" s="11">
        <f>SalesData[[#This Row],[Price]]*SalesData[[#This Row],[Quantity]]</f>
        <v>220.72</v>
      </c>
      <c r="J667" s="11" t="str">
        <f t="shared" si="10"/>
        <v>Low</v>
      </c>
      <c r="K667" s="21" t="s">
        <v>290</v>
      </c>
    </row>
    <row r="668" spans="1:11">
      <c r="A668" s="10">
        <v>43780</v>
      </c>
      <c r="B668" s="11" t="s">
        <v>9</v>
      </c>
      <c r="C668" s="11">
        <v>1200947</v>
      </c>
      <c r="D668" s="11" t="s">
        <v>124</v>
      </c>
      <c r="E668" s="11" t="s">
        <v>13</v>
      </c>
      <c r="F668" s="11">
        <v>109.36</v>
      </c>
      <c r="G668" s="11">
        <v>546813052</v>
      </c>
      <c r="H668" s="11">
        <v>1</v>
      </c>
      <c r="I668" s="11">
        <f>SalesData[[#This Row],[Price]]*SalesData[[#This Row],[Quantity]]</f>
        <v>109.36</v>
      </c>
      <c r="J668" s="11" t="str">
        <f t="shared" si="10"/>
        <v>Low</v>
      </c>
      <c r="K668" s="21" t="s">
        <v>290</v>
      </c>
    </row>
    <row r="669" spans="1:11">
      <c r="A669" s="10">
        <v>43775</v>
      </c>
      <c r="B669" s="11" t="s">
        <v>9</v>
      </c>
      <c r="C669" s="11">
        <v>13300800</v>
      </c>
      <c r="D669" s="11" t="s">
        <v>235</v>
      </c>
      <c r="E669" s="11" t="s">
        <v>235</v>
      </c>
      <c r="F669" s="11">
        <v>106.98</v>
      </c>
      <c r="G669" s="11">
        <v>523777976</v>
      </c>
      <c r="H669" s="11">
        <v>1</v>
      </c>
      <c r="I669" s="11">
        <f>SalesData[[#This Row],[Price]]*SalesData[[#This Row],[Quantity]]</f>
        <v>106.98</v>
      </c>
      <c r="J669" s="11" t="str">
        <f t="shared" si="10"/>
        <v>Low</v>
      </c>
      <c r="K669" s="21" t="s">
        <v>235</v>
      </c>
    </row>
    <row r="670" spans="1:11">
      <c r="A670" s="10">
        <v>43771</v>
      </c>
      <c r="B670" s="11" t="s">
        <v>9</v>
      </c>
      <c r="C670" s="11">
        <v>1004904</v>
      </c>
      <c r="D670" s="11" t="s">
        <v>11</v>
      </c>
      <c r="E670" s="11" t="s">
        <v>60</v>
      </c>
      <c r="F670" s="11">
        <v>106.54</v>
      </c>
      <c r="G670" s="11">
        <v>530053888</v>
      </c>
      <c r="H670" s="11">
        <v>2</v>
      </c>
      <c r="I670" s="11">
        <f>SalesData[[#This Row],[Price]]*SalesData[[#This Row],[Quantity]]</f>
        <v>213.08</v>
      </c>
      <c r="J670" s="11" t="str">
        <f t="shared" si="10"/>
        <v>Low</v>
      </c>
      <c r="K670" s="21" t="s">
        <v>290</v>
      </c>
    </row>
    <row r="671" spans="1:11">
      <c r="A671" s="10">
        <v>43784</v>
      </c>
      <c r="B671" s="11" t="s">
        <v>9</v>
      </c>
      <c r="C671" s="11">
        <v>3900002</v>
      </c>
      <c r="D671" s="11" t="s">
        <v>76</v>
      </c>
      <c r="E671" s="11" t="s">
        <v>77</v>
      </c>
      <c r="F671" s="11">
        <v>105.7</v>
      </c>
      <c r="G671" s="11">
        <v>551495812</v>
      </c>
      <c r="H671" s="11">
        <v>4</v>
      </c>
      <c r="I671" s="11">
        <f>SalesData[[#This Row],[Price]]*SalesData[[#This Row],[Quantity]]</f>
        <v>422.8</v>
      </c>
      <c r="J671" s="11" t="str">
        <f t="shared" si="10"/>
        <v>Low</v>
      </c>
      <c r="K671" s="21" t="s">
        <v>292</v>
      </c>
    </row>
    <row r="672" spans="1:11">
      <c r="A672" s="10">
        <v>43771</v>
      </c>
      <c r="B672" s="11" t="s">
        <v>9</v>
      </c>
      <c r="C672" s="11">
        <v>3900002</v>
      </c>
      <c r="D672" s="11" t="s">
        <v>76</v>
      </c>
      <c r="E672" s="11" t="s">
        <v>77</v>
      </c>
      <c r="F672" s="11">
        <v>105.7</v>
      </c>
      <c r="G672" s="11">
        <v>537500919</v>
      </c>
      <c r="H672" s="11">
        <v>5</v>
      </c>
      <c r="I672" s="11">
        <f>SalesData[[#This Row],[Price]]*SalesData[[#This Row],[Quantity]]</f>
        <v>528.5</v>
      </c>
      <c r="J672" s="11" t="str">
        <f t="shared" si="10"/>
        <v>Low</v>
      </c>
      <c r="K672" s="21" t="s">
        <v>292</v>
      </c>
    </row>
    <row r="673" spans="1:11">
      <c r="A673" s="10">
        <v>43783</v>
      </c>
      <c r="B673" s="11" t="s">
        <v>9</v>
      </c>
      <c r="C673" s="11">
        <v>3900002</v>
      </c>
      <c r="D673" s="11" t="s">
        <v>76</v>
      </c>
      <c r="E673" s="11" t="s">
        <v>77</v>
      </c>
      <c r="F673" s="11">
        <v>105.7</v>
      </c>
      <c r="G673" s="11">
        <v>537500919</v>
      </c>
      <c r="H673" s="11">
        <v>4</v>
      </c>
      <c r="I673" s="11">
        <f>SalesData[[#This Row],[Price]]*SalesData[[#This Row],[Quantity]]</f>
        <v>422.8</v>
      </c>
      <c r="J673" s="11" t="str">
        <f t="shared" si="10"/>
        <v>Low</v>
      </c>
      <c r="K673" s="21" t="s">
        <v>292</v>
      </c>
    </row>
    <row r="674" spans="1:11">
      <c r="A674" s="10">
        <v>43775</v>
      </c>
      <c r="B674" s="11" t="s">
        <v>9</v>
      </c>
      <c r="C674" s="11">
        <v>3900002</v>
      </c>
      <c r="D674" s="11" t="s">
        <v>76</v>
      </c>
      <c r="E674" s="11" t="s">
        <v>77</v>
      </c>
      <c r="F674" s="11">
        <v>105.7</v>
      </c>
      <c r="G674" s="11">
        <v>537500919</v>
      </c>
      <c r="H674" s="11">
        <v>5</v>
      </c>
      <c r="I674" s="11">
        <f>SalesData[[#This Row],[Price]]*SalesData[[#This Row],[Quantity]]</f>
        <v>528.5</v>
      </c>
      <c r="J674" s="11" t="str">
        <f t="shared" si="10"/>
        <v>Low</v>
      </c>
      <c r="K674" s="21" t="s">
        <v>292</v>
      </c>
    </row>
    <row r="675" spans="1:11">
      <c r="A675" s="10">
        <v>43773</v>
      </c>
      <c r="B675" s="11" t="s">
        <v>9</v>
      </c>
      <c r="C675" s="11">
        <v>3900002</v>
      </c>
      <c r="D675" s="11" t="s">
        <v>76</v>
      </c>
      <c r="E675" s="11" t="s">
        <v>77</v>
      </c>
      <c r="F675" s="11">
        <v>105.7</v>
      </c>
      <c r="G675" s="11">
        <v>519382136</v>
      </c>
      <c r="H675" s="11">
        <v>4</v>
      </c>
      <c r="I675" s="11">
        <f>SalesData[[#This Row],[Price]]*SalesData[[#This Row],[Quantity]]</f>
        <v>422.8</v>
      </c>
      <c r="J675" s="11" t="str">
        <f t="shared" si="10"/>
        <v>Low</v>
      </c>
      <c r="K675" s="21" t="s">
        <v>292</v>
      </c>
    </row>
    <row r="676" spans="1:11">
      <c r="A676" s="10">
        <v>43781</v>
      </c>
      <c r="B676" s="11" t="s">
        <v>9</v>
      </c>
      <c r="C676" s="11">
        <v>3701088</v>
      </c>
      <c r="D676" s="11" t="s">
        <v>57</v>
      </c>
      <c r="E676" s="11" t="s">
        <v>38</v>
      </c>
      <c r="F676" s="11">
        <v>105.02</v>
      </c>
      <c r="G676" s="11">
        <v>557810313</v>
      </c>
      <c r="H676" s="11">
        <v>2</v>
      </c>
      <c r="I676" s="11">
        <f>SalesData[[#This Row],[Price]]*SalesData[[#This Row],[Quantity]]</f>
        <v>210.04</v>
      </c>
      <c r="J676" s="11" t="str">
        <f t="shared" si="10"/>
        <v>Low</v>
      </c>
      <c r="K676" s="21" t="s">
        <v>292</v>
      </c>
    </row>
    <row r="677" spans="1:11">
      <c r="A677" s="10">
        <v>43779</v>
      </c>
      <c r="B677" s="11" t="s">
        <v>9</v>
      </c>
      <c r="C677" s="11">
        <v>1003983</v>
      </c>
      <c r="D677" s="11" t="s">
        <v>11</v>
      </c>
      <c r="E677" s="11" t="s">
        <v>60</v>
      </c>
      <c r="F677" s="11">
        <v>102.94</v>
      </c>
      <c r="G677" s="11">
        <v>556958704</v>
      </c>
      <c r="H677" s="11">
        <v>4</v>
      </c>
      <c r="I677" s="11">
        <f>SalesData[[#This Row],[Price]]*SalesData[[#This Row],[Quantity]]</f>
        <v>411.76</v>
      </c>
      <c r="J677" s="11" t="str">
        <f t="shared" si="10"/>
        <v>Low</v>
      </c>
      <c r="K677" s="21" t="s">
        <v>290</v>
      </c>
    </row>
    <row r="678" spans="1:11">
      <c r="A678" s="10">
        <v>43778</v>
      </c>
      <c r="B678" s="11" t="s">
        <v>9</v>
      </c>
      <c r="C678" s="11">
        <v>13400775</v>
      </c>
      <c r="D678" s="11" t="s">
        <v>235</v>
      </c>
      <c r="E678" s="11" t="s">
        <v>235</v>
      </c>
      <c r="F678" s="11">
        <v>102.94</v>
      </c>
      <c r="G678" s="11">
        <v>513798638</v>
      </c>
      <c r="H678" s="11">
        <v>5</v>
      </c>
      <c r="I678" s="11">
        <f>SalesData[[#This Row],[Price]]*SalesData[[#This Row],[Quantity]]</f>
        <v>514.70000000000005</v>
      </c>
      <c r="J678" s="11" t="str">
        <f t="shared" si="10"/>
        <v>Low</v>
      </c>
      <c r="K678" s="21" t="s">
        <v>235</v>
      </c>
    </row>
    <row r="679" spans="1:11">
      <c r="A679" s="10">
        <v>43772</v>
      </c>
      <c r="B679" s="11" t="s">
        <v>9</v>
      </c>
      <c r="C679" s="11">
        <v>12703106</v>
      </c>
      <c r="D679" s="11" t="s">
        <v>235</v>
      </c>
      <c r="E679" s="11" t="s">
        <v>23</v>
      </c>
      <c r="F679" s="11">
        <v>102.58</v>
      </c>
      <c r="G679" s="11">
        <v>536635963</v>
      </c>
      <c r="H679" s="11">
        <v>5</v>
      </c>
      <c r="I679" s="11">
        <f>SalesData[[#This Row],[Price]]*SalesData[[#This Row],[Quantity]]</f>
        <v>512.9</v>
      </c>
      <c r="J679" s="11" t="str">
        <f t="shared" si="10"/>
        <v>Low</v>
      </c>
      <c r="K679" s="21" t="s">
        <v>235</v>
      </c>
    </row>
    <row r="680" spans="1:11">
      <c r="A680" s="10">
        <v>43783</v>
      </c>
      <c r="B680" s="11" t="s">
        <v>9</v>
      </c>
      <c r="C680" s="11">
        <v>12703106</v>
      </c>
      <c r="D680" s="11" t="s">
        <v>235</v>
      </c>
      <c r="E680" s="11" t="s">
        <v>23</v>
      </c>
      <c r="F680" s="11">
        <v>102.58</v>
      </c>
      <c r="G680" s="11">
        <v>526188048</v>
      </c>
      <c r="H680" s="11">
        <v>4</v>
      </c>
      <c r="I680" s="11">
        <f>SalesData[[#This Row],[Price]]*SalesData[[#This Row],[Quantity]]</f>
        <v>410.32</v>
      </c>
      <c r="J680" s="11" t="str">
        <f t="shared" si="10"/>
        <v>Low</v>
      </c>
      <c r="K680" s="21" t="s">
        <v>235</v>
      </c>
    </row>
    <row r="681" spans="1:11">
      <c r="A681" s="10">
        <v>43772</v>
      </c>
      <c r="B681" s="11" t="s">
        <v>9</v>
      </c>
      <c r="C681" s="11">
        <v>4803977</v>
      </c>
      <c r="D681" s="11" t="s">
        <v>33</v>
      </c>
      <c r="E681" s="11" t="s">
        <v>13</v>
      </c>
      <c r="F681" s="11">
        <v>107.45</v>
      </c>
      <c r="G681" s="11">
        <v>557530559</v>
      </c>
      <c r="H681" s="11">
        <v>5</v>
      </c>
      <c r="I681" s="11">
        <f>SalesData[[#This Row],[Price]]*SalesData[[#This Row],[Quantity]]</f>
        <v>537.25</v>
      </c>
      <c r="J681" s="11" t="str">
        <f t="shared" si="10"/>
        <v>Low</v>
      </c>
      <c r="K681" s="21" t="s">
        <v>290</v>
      </c>
    </row>
    <row r="682" spans="1:11">
      <c r="A682" s="10">
        <v>43771</v>
      </c>
      <c r="B682" s="11" t="s">
        <v>9</v>
      </c>
      <c r="C682" s="11">
        <v>5000403</v>
      </c>
      <c r="D682" s="11" t="s">
        <v>183</v>
      </c>
      <c r="E682" s="11" t="s">
        <v>184</v>
      </c>
      <c r="F682" s="11">
        <v>100.47</v>
      </c>
      <c r="G682" s="11">
        <v>538967279</v>
      </c>
      <c r="H682" s="11">
        <v>1</v>
      </c>
      <c r="I682" s="11">
        <f>SalesData[[#This Row],[Price]]*SalesData[[#This Row],[Quantity]]</f>
        <v>100.47</v>
      </c>
      <c r="J682" s="11" t="str">
        <f t="shared" si="10"/>
        <v>Low</v>
      </c>
      <c r="K682" s="21" t="s">
        <v>292</v>
      </c>
    </row>
    <row r="683" spans="1:11">
      <c r="A683" s="10">
        <v>43783</v>
      </c>
      <c r="B683" s="11" t="s">
        <v>9</v>
      </c>
      <c r="C683" s="11">
        <v>22700068</v>
      </c>
      <c r="D683" s="11" t="s">
        <v>235</v>
      </c>
      <c r="E683" s="11" t="s">
        <v>86</v>
      </c>
      <c r="F683" s="11">
        <v>100.39</v>
      </c>
      <c r="G683" s="11">
        <v>562455917</v>
      </c>
      <c r="H683" s="11">
        <v>3</v>
      </c>
      <c r="I683" s="11">
        <f>SalesData[[#This Row],[Price]]*SalesData[[#This Row],[Quantity]]</f>
        <v>301.17</v>
      </c>
      <c r="J683" s="11" t="str">
        <f t="shared" si="10"/>
        <v>Low</v>
      </c>
      <c r="K683" s="21" t="s">
        <v>235</v>
      </c>
    </row>
    <row r="684" spans="1:11">
      <c r="A684" s="10">
        <v>43771</v>
      </c>
      <c r="B684" s="11" t="s">
        <v>9</v>
      </c>
      <c r="C684" s="11">
        <v>28704601</v>
      </c>
      <c r="D684" s="11" t="s">
        <v>113</v>
      </c>
      <c r="E684" s="11" t="s">
        <v>127</v>
      </c>
      <c r="F684" s="11">
        <v>100.39</v>
      </c>
      <c r="G684" s="11">
        <v>552942348</v>
      </c>
      <c r="H684" s="11">
        <v>5</v>
      </c>
      <c r="I684" s="11">
        <f>SalesData[[#This Row],[Price]]*SalesData[[#This Row],[Quantity]]</f>
        <v>501.95</v>
      </c>
      <c r="J684" s="11" t="str">
        <f t="shared" si="10"/>
        <v>Low</v>
      </c>
      <c r="K684" s="21" t="s">
        <v>297</v>
      </c>
    </row>
    <row r="685" spans="1:11">
      <c r="A685" s="10">
        <v>43779</v>
      </c>
      <c r="B685" s="11" t="s">
        <v>9</v>
      </c>
      <c r="C685" s="11">
        <v>22700068</v>
      </c>
      <c r="D685" s="11" t="s">
        <v>235</v>
      </c>
      <c r="E685" s="11" t="s">
        <v>86</v>
      </c>
      <c r="F685" s="11">
        <v>100.39</v>
      </c>
      <c r="G685" s="11">
        <v>513376382</v>
      </c>
      <c r="H685" s="11">
        <v>2</v>
      </c>
      <c r="I685" s="11">
        <f>SalesData[[#This Row],[Price]]*SalesData[[#This Row],[Quantity]]</f>
        <v>200.78</v>
      </c>
      <c r="J685" s="11" t="str">
        <f t="shared" si="10"/>
        <v>Low</v>
      </c>
      <c r="K685" s="21" t="s">
        <v>235</v>
      </c>
    </row>
    <row r="686" spans="1:11">
      <c r="A686" s="10">
        <v>43784</v>
      </c>
      <c r="B686" s="11" t="s">
        <v>9</v>
      </c>
      <c r="C686" s="11">
        <v>3701050</v>
      </c>
      <c r="D686" s="11" t="s">
        <v>57</v>
      </c>
      <c r="E686" s="11" t="s">
        <v>44</v>
      </c>
      <c r="F686" s="11">
        <v>100.36</v>
      </c>
      <c r="G686" s="11">
        <v>518639908</v>
      </c>
      <c r="H686" s="11">
        <v>2</v>
      </c>
      <c r="I686" s="11">
        <f>SalesData[[#This Row],[Price]]*SalesData[[#This Row],[Quantity]]</f>
        <v>200.72</v>
      </c>
      <c r="J686" s="11" t="str">
        <f t="shared" si="10"/>
        <v>Low</v>
      </c>
      <c r="K686" s="21" t="s">
        <v>292</v>
      </c>
    </row>
    <row r="687" spans="1:11">
      <c r="A687" s="10">
        <v>43772</v>
      </c>
      <c r="B687" s="11" t="s">
        <v>9</v>
      </c>
      <c r="C687" s="11">
        <v>28717081</v>
      </c>
      <c r="D687" s="11" t="s">
        <v>40</v>
      </c>
      <c r="E687" s="11" t="s">
        <v>41</v>
      </c>
      <c r="F687" s="11">
        <v>100.13</v>
      </c>
      <c r="G687" s="11">
        <v>560914255</v>
      </c>
      <c r="H687" s="11">
        <v>5</v>
      </c>
      <c r="I687" s="11">
        <f>SalesData[[#This Row],[Price]]*SalesData[[#This Row],[Quantity]]</f>
        <v>500.65</v>
      </c>
      <c r="J687" s="11" t="str">
        <f t="shared" si="10"/>
        <v>Low</v>
      </c>
      <c r="K687" s="21" t="s">
        <v>297</v>
      </c>
    </row>
    <row r="688" spans="1:11">
      <c r="A688" s="10">
        <v>43783</v>
      </c>
      <c r="B688" s="11" t="s">
        <v>9</v>
      </c>
      <c r="C688" s="11">
        <v>28100993</v>
      </c>
      <c r="D688" s="11" t="s">
        <v>235</v>
      </c>
      <c r="E688" s="11" t="s">
        <v>235</v>
      </c>
      <c r="F688" s="11">
        <v>99.1</v>
      </c>
      <c r="G688" s="11">
        <v>521693054</v>
      </c>
      <c r="H688" s="11">
        <v>5</v>
      </c>
      <c r="I688" s="11">
        <f>SalesData[[#This Row],[Price]]*SalesData[[#This Row],[Quantity]]</f>
        <v>495.5</v>
      </c>
      <c r="J688" s="11" t="str">
        <f t="shared" si="10"/>
        <v>Low</v>
      </c>
      <c r="K688" s="21" t="s">
        <v>235</v>
      </c>
    </row>
    <row r="689" spans="1:11">
      <c r="A689" s="10">
        <v>43781</v>
      </c>
      <c r="B689" s="11" t="s">
        <v>9</v>
      </c>
      <c r="C689" s="11">
        <v>2402228</v>
      </c>
      <c r="D689" s="11" t="s">
        <v>139</v>
      </c>
      <c r="E689" s="11" t="s">
        <v>140</v>
      </c>
      <c r="F689" s="11">
        <v>97.79</v>
      </c>
      <c r="G689" s="11">
        <v>526062582</v>
      </c>
      <c r="H689" s="11">
        <v>1</v>
      </c>
      <c r="I689" s="11">
        <f>SalesData[[#This Row],[Price]]*SalesData[[#This Row],[Quantity]]</f>
        <v>97.79</v>
      </c>
      <c r="J689" s="11" t="str">
        <f t="shared" si="10"/>
        <v>Low</v>
      </c>
      <c r="K689" s="21" t="s">
        <v>292</v>
      </c>
    </row>
    <row r="690" spans="1:11">
      <c r="A690" s="10">
        <v>43783</v>
      </c>
      <c r="B690" s="11" t="s">
        <v>9</v>
      </c>
      <c r="C690" s="11">
        <v>12700959</v>
      </c>
      <c r="D690" s="11" t="s">
        <v>235</v>
      </c>
      <c r="E690" s="11" t="s">
        <v>63</v>
      </c>
      <c r="F690" s="11">
        <v>96.67</v>
      </c>
      <c r="G690" s="11">
        <v>516308340</v>
      </c>
      <c r="H690" s="11">
        <v>3</v>
      </c>
      <c r="I690" s="11">
        <f>SalesData[[#This Row],[Price]]*SalesData[[#This Row],[Quantity]]</f>
        <v>290.01</v>
      </c>
      <c r="J690" s="11" t="str">
        <f t="shared" si="10"/>
        <v>Low</v>
      </c>
      <c r="K690" s="21" t="s">
        <v>235</v>
      </c>
    </row>
    <row r="691" spans="1:11">
      <c r="A691" s="10">
        <v>43771</v>
      </c>
      <c r="B691" s="11" t="s">
        <v>9</v>
      </c>
      <c r="C691" s="11">
        <v>12700959</v>
      </c>
      <c r="D691" s="11" t="s">
        <v>235</v>
      </c>
      <c r="E691" s="11" t="s">
        <v>63</v>
      </c>
      <c r="F691" s="11">
        <v>96.67</v>
      </c>
      <c r="G691" s="11">
        <v>516308340</v>
      </c>
      <c r="H691" s="11">
        <v>1</v>
      </c>
      <c r="I691" s="11">
        <f>SalesData[[#This Row],[Price]]*SalesData[[#This Row],[Quantity]]</f>
        <v>96.67</v>
      </c>
      <c r="J691" s="11" t="str">
        <f t="shared" si="10"/>
        <v>Low</v>
      </c>
      <c r="K691" s="21" t="s">
        <v>235</v>
      </c>
    </row>
    <row r="692" spans="1:11">
      <c r="A692" s="10">
        <v>43778</v>
      </c>
      <c r="B692" s="11" t="s">
        <v>9</v>
      </c>
      <c r="C692" s="11">
        <v>13300584</v>
      </c>
      <c r="D692" s="11" t="s">
        <v>235</v>
      </c>
      <c r="E692" s="11" t="s">
        <v>196</v>
      </c>
      <c r="F692" s="11">
        <v>94.98</v>
      </c>
      <c r="G692" s="11">
        <v>515817705</v>
      </c>
      <c r="H692" s="11">
        <v>5</v>
      </c>
      <c r="I692" s="11">
        <f>SalesData[[#This Row],[Price]]*SalesData[[#This Row],[Quantity]]</f>
        <v>474.90000000000003</v>
      </c>
      <c r="J692" s="11" t="str">
        <f t="shared" si="10"/>
        <v>Low</v>
      </c>
      <c r="K692" s="21" t="s">
        <v>235</v>
      </c>
    </row>
    <row r="693" spans="1:11">
      <c r="A693" s="10">
        <v>43780</v>
      </c>
      <c r="B693" s="11" t="s">
        <v>9</v>
      </c>
      <c r="C693" s="11">
        <v>1005007</v>
      </c>
      <c r="D693" s="11" t="s">
        <v>11</v>
      </c>
      <c r="E693" s="11" t="s">
        <v>12</v>
      </c>
      <c r="F693" s="11">
        <v>94.7</v>
      </c>
      <c r="G693" s="11">
        <v>554459781</v>
      </c>
      <c r="H693" s="11">
        <v>4</v>
      </c>
      <c r="I693" s="11">
        <f>SalesData[[#This Row],[Price]]*SalesData[[#This Row],[Quantity]]</f>
        <v>378.8</v>
      </c>
      <c r="J693" s="11" t="str">
        <f t="shared" si="10"/>
        <v>Low</v>
      </c>
      <c r="K693" s="21" t="s">
        <v>290</v>
      </c>
    </row>
    <row r="694" spans="1:11">
      <c r="A694" s="10">
        <v>43777</v>
      </c>
      <c r="B694" s="11" t="s">
        <v>9</v>
      </c>
      <c r="C694" s="11">
        <v>8801100</v>
      </c>
      <c r="D694" s="11" t="s">
        <v>142</v>
      </c>
      <c r="E694" s="11" t="s">
        <v>143</v>
      </c>
      <c r="F694" s="11">
        <v>94.66</v>
      </c>
      <c r="G694" s="11">
        <v>534492015</v>
      </c>
      <c r="H694" s="11">
        <v>3</v>
      </c>
      <c r="I694" s="11">
        <f>SalesData[[#This Row],[Price]]*SalesData[[#This Row],[Quantity]]</f>
        <v>283.98</v>
      </c>
      <c r="J694" s="11" t="str">
        <f t="shared" si="10"/>
        <v>Low</v>
      </c>
      <c r="K694" s="21" t="s">
        <v>290</v>
      </c>
    </row>
    <row r="695" spans="1:11">
      <c r="A695" s="10">
        <v>43774</v>
      </c>
      <c r="B695" s="11" t="s">
        <v>9</v>
      </c>
      <c r="C695" s="11">
        <v>5300095</v>
      </c>
      <c r="D695" s="11" t="s">
        <v>235</v>
      </c>
      <c r="E695" s="11" t="s">
        <v>190</v>
      </c>
      <c r="F695" s="11">
        <v>94.47</v>
      </c>
      <c r="G695" s="11">
        <v>555345204</v>
      </c>
      <c r="H695" s="11">
        <v>4</v>
      </c>
      <c r="I695" s="11">
        <f>SalesData[[#This Row],[Price]]*SalesData[[#This Row],[Quantity]]</f>
        <v>377.88</v>
      </c>
      <c r="J695" s="11" t="str">
        <f t="shared" si="10"/>
        <v>Low</v>
      </c>
      <c r="K695" s="21" t="s">
        <v>235</v>
      </c>
    </row>
    <row r="696" spans="1:11">
      <c r="A696" s="10">
        <v>43777</v>
      </c>
      <c r="B696" s="11" t="s">
        <v>9</v>
      </c>
      <c r="C696" s="11">
        <v>3600591</v>
      </c>
      <c r="D696" s="11" t="s">
        <v>81</v>
      </c>
      <c r="E696" s="11" t="s">
        <v>91</v>
      </c>
      <c r="F696" s="11">
        <v>93.51</v>
      </c>
      <c r="G696" s="11">
        <v>516191099</v>
      </c>
      <c r="H696" s="11">
        <v>2</v>
      </c>
      <c r="I696" s="11">
        <f>SalesData[[#This Row],[Price]]*SalesData[[#This Row],[Quantity]]</f>
        <v>187.02</v>
      </c>
      <c r="J696" s="11" t="str">
        <f t="shared" si="10"/>
        <v>Low</v>
      </c>
      <c r="K696" s="21" t="s">
        <v>292</v>
      </c>
    </row>
    <row r="697" spans="1:11">
      <c r="A697" s="10">
        <v>43780</v>
      </c>
      <c r="B697" s="11" t="s">
        <v>9</v>
      </c>
      <c r="C697" s="11">
        <v>26203834</v>
      </c>
      <c r="D697" s="11" t="s">
        <v>235</v>
      </c>
      <c r="E697" s="11" t="s">
        <v>235</v>
      </c>
      <c r="F697" s="11">
        <v>92.41</v>
      </c>
      <c r="G697" s="11">
        <v>521026062</v>
      </c>
      <c r="H697" s="11">
        <v>1</v>
      </c>
      <c r="I697" s="11">
        <f>SalesData[[#This Row],[Price]]*SalesData[[#This Row],[Quantity]]</f>
        <v>92.41</v>
      </c>
      <c r="J697" s="11" t="str">
        <f t="shared" si="10"/>
        <v>Low</v>
      </c>
      <c r="K697" s="21" t="s">
        <v>235</v>
      </c>
    </row>
    <row r="698" spans="1:11">
      <c r="A698" s="10">
        <v>43783</v>
      </c>
      <c r="B698" s="11" t="s">
        <v>9</v>
      </c>
      <c r="C698" s="11">
        <v>1004462</v>
      </c>
      <c r="D698" s="11" t="s">
        <v>11</v>
      </c>
      <c r="E698" s="11" t="s">
        <v>60</v>
      </c>
      <c r="F698" s="11">
        <v>91.61</v>
      </c>
      <c r="G698" s="11">
        <v>516475820</v>
      </c>
      <c r="H698" s="11">
        <v>1</v>
      </c>
      <c r="I698" s="11">
        <f>SalesData[[#This Row],[Price]]*SalesData[[#This Row],[Quantity]]</f>
        <v>91.61</v>
      </c>
      <c r="J698" s="11" t="str">
        <f t="shared" si="10"/>
        <v>Low</v>
      </c>
      <c r="K698" s="21" t="s">
        <v>290</v>
      </c>
    </row>
    <row r="699" spans="1:11">
      <c r="A699" s="10">
        <v>43774</v>
      </c>
      <c r="B699" s="11" t="s">
        <v>9</v>
      </c>
      <c r="C699" s="11">
        <v>26500136</v>
      </c>
      <c r="D699" s="11" t="s">
        <v>235</v>
      </c>
      <c r="E699" s="11" t="s">
        <v>14</v>
      </c>
      <c r="F699" s="11">
        <v>91.38</v>
      </c>
      <c r="G699" s="11">
        <v>548501532</v>
      </c>
      <c r="H699" s="11">
        <v>2</v>
      </c>
      <c r="I699" s="11">
        <f>SalesData[[#This Row],[Price]]*SalesData[[#This Row],[Quantity]]</f>
        <v>182.76</v>
      </c>
      <c r="J699" s="11" t="str">
        <f t="shared" si="10"/>
        <v>Low</v>
      </c>
      <c r="K699" s="21" t="s">
        <v>235</v>
      </c>
    </row>
    <row r="700" spans="1:11">
      <c r="A700" s="10">
        <v>43776</v>
      </c>
      <c r="B700" s="11" t="s">
        <v>9</v>
      </c>
      <c r="C700" s="11">
        <v>12700831</v>
      </c>
      <c r="D700" s="11" t="s">
        <v>235</v>
      </c>
      <c r="E700" s="11" t="s">
        <v>63</v>
      </c>
      <c r="F700" s="11">
        <v>91.34</v>
      </c>
      <c r="G700" s="11">
        <v>544065541</v>
      </c>
      <c r="H700" s="11">
        <v>1</v>
      </c>
      <c r="I700" s="11">
        <f>SalesData[[#This Row],[Price]]*SalesData[[#This Row],[Quantity]]</f>
        <v>91.34</v>
      </c>
      <c r="J700" s="11" t="str">
        <f t="shared" si="10"/>
        <v>Low</v>
      </c>
      <c r="K700" s="21" t="s">
        <v>235</v>
      </c>
    </row>
    <row r="701" spans="1:11">
      <c r="A701" s="10">
        <v>43770</v>
      </c>
      <c r="B701" s="11" t="s">
        <v>9</v>
      </c>
      <c r="C701" s="11">
        <v>17800113</v>
      </c>
      <c r="D701" s="11" t="s">
        <v>24</v>
      </c>
      <c r="E701" s="11" t="s">
        <v>125</v>
      </c>
      <c r="F701" s="11">
        <v>90.44</v>
      </c>
      <c r="G701" s="11">
        <v>527916719</v>
      </c>
      <c r="H701" s="11">
        <v>4</v>
      </c>
      <c r="I701" s="11">
        <f>SalesData[[#This Row],[Price]]*SalesData[[#This Row],[Quantity]]</f>
        <v>361.76</v>
      </c>
      <c r="J701" s="11" t="str">
        <f t="shared" si="10"/>
        <v>Low</v>
      </c>
      <c r="K701" s="21" t="s">
        <v>291</v>
      </c>
    </row>
    <row r="702" spans="1:11">
      <c r="A702" s="10">
        <v>43782</v>
      </c>
      <c r="B702" s="11" t="s">
        <v>9</v>
      </c>
      <c r="C702" s="11">
        <v>48400003</v>
      </c>
      <c r="D702" s="11" t="s">
        <v>235</v>
      </c>
      <c r="E702" s="11" t="s">
        <v>235</v>
      </c>
      <c r="F702" s="11">
        <v>90.07</v>
      </c>
      <c r="G702" s="11">
        <v>514607972</v>
      </c>
      <c r="H702" s="11">
        <v>1</v>
      </c>
      <c r="I702" s="11">
        <f>SalesData[[#This Row],[Price]]*SalesData[[#This Row],[Quantity]]</f>
        <v>90.07</v>
      </c>
      <c r="J702" s="11" t="str">
        <f t="shared" si="10"/>
        <v>Low</v>
      </c>
      <c r="K702" s="21" t="s">
        <v>235</v>
      </c>
    </row>
    <row r="703" spans="1:11">
      <c r="A703" s="10">
        <v>43780</v>
      </c>
      <c r="B703" s="11" t="s">
        <v>9</v>
      </c>
      <c r="C703" s="11">
        <v>48400003</v>
      </c>
      <c r="D703" s="11" t="s">
        <v>235</v>
      </c>
      <c r="E703" s="11" t="s">
        <v>235</v>
      </c>
      <c r="F703" s="11">
        <v>90.07</v>
      </c>
      <c r="G703" s="11">
        <v>514607972</v>
      </c>
      <c r="H703" s="11">
        <v>1</v>
      </c>
      <c r="I703" s="11">
        <f>SalesData[[#This Row],[Price]]*SalesData[[#This Row],[Quantity]]</f>
        <v>90.07</v>
      </c>
      <c r="J703" s="11" t="str">
        <f t="shared" si="10"/>
        <v>Low</v>
      </c>
      <c r="K703" s="21" t="s">
        <v>235</v>
      </c>
    </row>
    <row r="704" spans="1:11">
      <c r="A704" s="10">
        <v>43772</v>
      </c>
      <c r="B704" s="11" t="s">
        <v>9</v>
      </c>
      <c r="C704" s="11">
        <v>28715851</v>
      </c>
      <c r="D704" s="11" t="s">
        <v>113</v>
      </c>
      <c r="E704" s="11" t="s">
        <v>114</v>
      </c>
      <c r="F704" s="11">
        <v>89.84</v>
      </c>
      <c r="G704" s="11">
        <v>517037309</v>
      </c>
      <c r="H704" s="11">
        <v>4</v>
      </c>
      <c r="I704" s="11">
        <f>SalesData[[#This Row],[Price]]*SalesData[[#This Row],[Quantity]]</f>
        <v>359.36</v>
      </c>
      <c r="J704" s="11" t="str">
        <f t="shared" si="10"/>
        <v>Low</v>
      </c>
      <c r="K704" s="21" t="s">
        <v>297</v>
      </c>
    </row>
    <row r="705" spans="1:11">
      <c r="A705" s="10">
        <v>43783</v>
      </c>
      <c r="B705" s="11" t="s">
        <v>9</v>
      </c>
      <c r="C705" s="11">
        <v>4803977</v>
      </c>
      <c r="D705" s="11" t="s">
        <v>33</v>
      </c>
      <c r="E705" s="11" t="s">
        <v>13</v>
      </c>
      <c r="F705" s="11">
        <v>107.45</v>
      </c>
      <c r="G705" s="11">
        <v>566281421</v>
      </c>
      <c r="H705" s="11">
        <v>3</v>
      </c>
      <c r="I705" s="11">
        <f>SalesData[[#This Row],[Price]]*SalesData[[#This Row],[Quantity]]</f>
        <v>322.35000000000002</v>
      </c>
      <c r="J705" s="11" t="str">
        <f t="shared" si="10"/>
        <v>Low</v>
      </c>
      <c r="K705" s="21" t="s">
        <v>290</v>
      </c>
    </row>
    <row r="706" spans="1:11">
      <c r="A706" s="10">
        <v>43777</v>
      </c>
      <c r="B706" s="11" t="s">
        <v>9</v>
      </c>
      <c r="C706" s="11">
        <v>4803977</v>
      </c>
      <c r="D706" s="11" t="s">
        <v>33</v>
      </c>
      <c r="E706" s="11" t="s">
        <v>13</v>
      </c>
      <c r="F706" s="11">
        <v>107.45</v>
      </c>
      <c r="G706" s="11">
        <v>518336246</v>
      </c>
      <c r="H706" s="11">
        <v>5</v>
      </c>
      <c r="I706" s="11">
        <f>SalesData[[#This Row],[Price]]*SalesData[[#This Row],[Quantity]]</f>
        <v>537.25</v>
      </c>
      <c r="J706" s="11" t="str">
        <f t="shared" ref="J706:J769" si="11">IF(F706&lt;500, "Low", IF(F706&lt;1500, "Medium", "High"))</f>
        <v>Low</v>
      </c>
      <c r="K706" s="21" t="s">
        <v>290</v>
      </c>
    </row>
    <row r="707" spans="1:11">
      <c r="A707" s="10">
        <v>43778</v>
      </c>
      <c r="B707" s="11" t="s">
        <v>9</v>
      </c>
      <c r="C707" s="11">
        <v>6800904</v>
      </c>
      <c r="D707" s="11" t="s">
        <v>165</v>
      </c>
      <c r="E707" s="11" t="s">
        <v>13</v>
      </c>
      <c r="F707" s="11">
        <v>101.16</v>
      </c>
      <c r="G707" s="11">
        <v>519599610</v>
      </c>
      <c r="H707" s="11">
        <v>2</v>
      </c>
      <c r="I707" s="11">
        <f>SalesData[[#This Row],[Price]]*SalesData[[#This Row],[Quantity]]</f>
        <v>202.32</v>
      </c>
      <c r="J707" s="11" t="str">
        <f t="shared" si="11"/>
        <v>Low</v>
      </c>
      <c r="K707" s="21" t="s">
        <v>291</v>
      </c>
    </row>
    <row r="708" spans="1:11">
      <c r="A708" s="10">
        <v>43778</v>
      </c>
      <c r="B708" s="11" t="s">
        <v>9</v>
      </c>
      <c r="C708" s="11">
        <v>1004209</v>
      </c>
      <c r="D708" s="11" t="s">
        <v>11</v>
      </c>
      <c r="E708" s="11" t="s">
        <v>13</v>
      </c>
      <c r="F708" s="11">
        <v>88.29</v>
      </c>
      <c r="G708" s="11">
        <v>516340669</v>
      </c>
      <c r="H708" s="11">
        <v>4</v>
      </c>
      <c r="I708" s="11">
        <f>SalesData[[#This Row],[Price]]*SalesData[[#This Row],[Quantity]]</f>
        <v>353.16</v>
      </c>
      <c r="J708" s="11" t="str">
        <f t="shared" si="11"/>
        <v>Low</v>
      </c>
      <c r="K708" s="21" t="s">
        <v>290</v>
      </c>
    </row>
    <row r="709" spans="1:11">
      <c r="A709" s="10">
        <v>43774</v>
      </c>
      <c r="B709" s="11" t="s">
        <v>9</v>
      </c>
      <c r="C709" s="11">
        <v>19200005</v>
      </c>
      <c r="D709" s="11" t="s">
        <v>167</v>
      </c>
      <c r="E709" s="11" t="s">
        <v>168</v>
      </c>
      <c r="F709" s="11">
        <v>87.52</v>
      </c>
      <c r="G709" s="11">
        <v>543689735</v>
      </c>
      <c r="H709" s="11">
        <v>5</v>
      </c>
      <c r="I709" s="11">
        <f>SalesData[[#This Row],[Price]]*SalesData[[#This Row],[Quantity]]</f>
        <v>437.59999999999997</v>
      </c>
      <c r="J709" s="11" t="str">
        <f t="shared" si="11"/>
        <v>Low</v>
      </c>
      <c r="K709" s="21" t="s">
        <v>294</v>
      </c>
    </row>
    <row r="710" spans="1:11">
      <c r="A710" s="10">
        <v>43783</v>
      </c>
      <c r="B710" s="11" t="s">
        <v>9</v>
      </c>
      <c r="C710" s="11">
        <v>12709941</v>
      </c>
      <c r="D710" s="11" t="s">
        <v>235</v>
      </c>
      <c r="E710" s="11" t="s">
        <v>115</v>
      </c>
      <c r="F710" s="11">
        <v>87.26</v>
      </c>
      <c r="G710" s="11">
        <v>545800562</v>
      </c>
      <c r="H710" s="11">
        <v>1</v>
      </c>
      <c r="I710" s="11">
        <f>SalesData[[#This Row],[Price]]*SalesData[[#This Row],[Quantity]]</f>
        <v>87.26</v>
      </c>
      <c r="J710" s="11" t="str">
        <f t="shared" si="11"/>
        <v>Low</v>
      </c>
      <c r="K710" s="21" t="s">
        <v>235</v>
      </c>
    </row>
    <row r="711" spans="1:11">
      <c r="A711" s="10">
        <v>43773</v>
      </c>
      <c r="B711" s="11" t="s">
        <v>9</v>
      </c>
      <c r="C711" s="11">
        <v>12710320</v>
      </c>
      <c r="D711" s="11" t="s">
        <v>235</v>
      </c>
      <c r="E711" s="11" t="s">
        <v>115</v>
      </c>
      <c r="F711" s="11">
        <v>87</v>
      </c>
      <c r="G711" s="11">
        <v>516308340</v>
      </c>
      <c r="H711" s="11">
        <v>5</v>
      </c>
      <c r="I711" s="11">
        <f>SalesData[[#This Row],[Price]]*SalesData[[#This Row],[Quantity]]</f>
        <v>435</v>
      </c>
      <c r="J711" s="11" t="str">
        <f t="shared" si="11"/>
        <v>Low</v>
      </c>
      <c r="K711" s="21" t="s">
        <v>235</v>
      </c>
    </row>
    <row r="712" spans="1:11">
      <c r="A712" s="10">
        <v>43772</v>
      </c>
      <c r="B712" s="11" t="s">
        <v>9</v>
      </c>
      <c r="C712" s="11">
        <v>28716422</v>
      </c>
      <c r="D712" s="11" t="s">
        <v>113</v>
      </c>
      <c r="E712" s="11" t="s">
        <v>114</v>
      </c>
      <c r="F712" s="11">
        <v>86.23</v>
      </c>
      <c r="G712" s="11">
        <v>538018965</v>
      </c>
      <c r="H712" s="11">
        <v>5</v>
      </c>
      <c r="I712" s="11">
        <f>SalesData[[#This Row],[Price]]*SalesData[[#This Row],[Quantity]]</f>
        <v>431.15000000000003</v>
      </c>
      <c r="J712" s="11" t="str">
        <f t="shared" si="11"/>
        <v>Low</v>
      </c>
      <c r="K712" s="21" t="s">
        <v>297</v>
      </c>
    </row>
    <row r="713" spans="1:11">
      <c r="A713" s="10">
        <v>43772</v>
      </c>
      <c r="B713" s="11" t="s">
        <v>9</v>
      </c>
      <c r="C713" s="11">
        <v>28716454</v>
      </c>
      <c r="D713" s="11" t="s">
        <v>113</v>
      </c>
      <c r="E713" s="11" t="s">
        <v>114</v>
      </c>
      <c r="F713" s="11">
        <v>86.23</v>
      </c>
      <c r="G713" s="11">
        <v>541022499</v>
      </c>
      <c r="H713" s="11">
        <v>4</v>
      </c>
      <c r="I713" s="11">
        <f>SalesData[[#This Row],[Price]]*SalesData[[#This Row],[Quantity]]</f>
        <v>344.92</v>
      </c>
      <c r="J713" s="11" t="str">
        <f t="shared" si="11"/>
        <v>Low</v>
      </c>
      <c r="K713" s="21" t="s">
        <v>297</v>
      </c>
    </row>
    <row r="714" spans="1:11">
      <c r="A714" s="10">
        <v>43770</v>
      </c>
      <c r="B714" s="11" t="s">
        <v>9</v>
      </c>
      <c r="C714" s="11">
        <v>12703499</v>
      </c>
      <c r="D714" s="11" t="s">
        <v>235</v>
      </c>
      <c r="E714" s="11" t="s">
        <v>97</v>
      </c>
      <c r="F714" s="11">
        <v>86.23</v>
      </c>
      <c r="G714" s="11">
        <v>515920155</v>
      </c>
      <c r="H714" s="11">
        <v>3</v>
      </c>
      <c r="I714" s="11">
        <f>SalesData[[#This Row],[Price]]*SalesData[[#This Row],[Quantity]]</f>
        <v>258.69</v>
      </c>
      <c r="J714" s="11" t="str">
        <f t="shared" si="11"/>
        <v>Low</v>
      </c>
      <c r="K714" s="21" t="s">
        <v>235</v>
      </c>
    </row>
    <row r="715" spans="1:11">
      <c r="A715" s="10">
        <v>43777</v>
      </c>
      <c r="B715" s="11" t="s">
        <v>9</v>
      </c>
      <c r="C715" s="11">
        <v>11900017</v>
      </c>
      <c r="D715" s="11" t="s">
        <v>235</v>
      </c>
      <c r="E715" s="11" t="s">
        <v>235</v>
      </c>
      <c r="F715" s="11">
        <v>85.81</v>
      </c>
      <c r="G715" s="11">
        <v>522335330</v>
      </c>
      <c r="H715" s="11">
        <v>3</v>
      </c>
      <c r="I715" s="11">
        <f>SalesData[[#This Row],[Price]]*SalesData[[#This Row],[Quantity]]</f>
        <v>257.43</v>
      </c>
      <c r="J715" s="11" t="str">
        <f t="shared" si="11"/>
        <v>Low</v>
      </c>
      <c r="K715" s="21" t="s">
        <v>235</v>
      </c>
    </row>
    <row r="716" spans="1:11">
      <c r="A716" s="10">
        <v>43771</v>
      </c>
      <c r="B716" s="11" t="s">
        <v>9</v>
      </c>
      <c r="C716" s="11">
        <v>14300017</v>
      </c>
      <c r="D716" s="11" t="s">
        <v>20</v>
      </c>
      <c r="E716" s="11" t="s">
        <v>21</v>
      </c>
      <c r="F716" s="11">
        <v>84.94</v>
      </c>
      <c r="G716" s="11">
        <v>538417163</v>
      </c>
      <c r="H716" s="11">
        <v>4</v>
      </c>
      <c r="I716" s="11">
        <f>SalesData[[#This Row],[Price]]*SalesData[[#This Row],[Quantity]]</f>
        <v>339.76</v>
      </c>
      <c r="J716" s="11" t="str">
        <f t="shared" si="11"/>
        <v>Low</v>
      </c>
      <c r="K716" s="21" t="s">
        <v>290</v>
      </c>
    </row>
    <row r="717" spans="1:11">
      <c r="A717" s="10">
        <v>43782</v>
      </c>
      <c r="B717" s="11" t="s">
        <v>9</v>
      </c>
      <c r="C717" s="11">
        <v>12700941</v>
      </c>
      <c r="D717" s="11" t="s">
        <v>235</v>
      </c>
      <c r="E717" s="11" t="s">
        <v>63</v>
      </c>
      <c r="F717" s="11">
        <v>84.69</v>
      </c>
      <c r="G717" s="11">
        <v>518724743</v>
      </c>
      <c r="H717" s="11">
        <v>2</v>
      </c>
      <c r="I717" s="11">
        <f>SalesData[[#This Row],[Price]]*SalesData[[#This Row],[Quantity]]</f>
        <v>169.38</v>
      </c>
      <c r="J717" s="11" t="str">
        <f t="shared" si="11"/>
        <v>Low</v>
      </c>
      <c r="K717" s="21" t="s">
        <v>235</v>
      </c>
    </row>
    <row r="718" spans="1:11">
      <c r="A718" s="10">
        <v>43778</v>
      </c>
      <c r="B718" s="11" t="s">
        <v>9</v>
      </c>
      <c r="C718" s="11">
        <v>6100216</v>
      </c>
      <c r="D718" s="11" t="s">
        <v>160</v>
      </c>
      <c r="E718" s="11" t="s">
        <v>161</v>
      </c>
      <c r="F718" s="11">
        <v>84.43</v>
      </c>
      <c r="G718" s="11">
        <v>527260811</v>
      </c>
      <c r="H718" s="11">
        <v>5</v>
      </c>
      <c r="I718" s="11">
        <f>SalesData[[#This Row],[Price]]*SalesData[[#This Row],[Quantity]]</f>
        <v>422.15000000000003</v>
      </c>
      <c r="J718" s="11" t="str">
        <f t="shared" si="11"/>
        <v>Low</v>
      </c>
      <c r="K718" s="21" t="s">
        <v>295</v>
      </c>
    </row>
    <row r="719" spans="1:11">
      <c r="A719" s="10">
        <v>43781</v>
      </c>
      <c r="B719" s="11" t="s">
        <v>9</v>
      </c>
      <c r="C719" s="11">
        <v>15200192</v>
      </c>
      <c r="D719" s="11" t="s">
        <v>235</v>
      </c>
      <c r="E719" s="11" t="s">
        <v>215</v>
      </c>
      <c r="F719" s="11">
        <v>84.43</v>
      </c>
      <c r="G719" s="11">
        <v>560583956</v>
      </c>
      <c r="H719" s="11">
        <v>3</v>
      </c>
      <c r="I719" s="11">
        <f>SalesData[[#This Row],[Price]]*SalesData[[#This Row],[Quantity]]</f>
        <v>253.29000000000002</v>
      </c>
      <c r="J719" s="11" t="str">
        <f t="shared" si="11"/>
        <v>Low</v>
      </c>
      <c r="K719" s="21" t="s">
        <v>235</v>
      </c>
    </row>
    <row r="720" spans="1:11">
      <c r="A720" s="10">
        <v>43782</v>
      </c>
      <c r="B720" s="11" t="s">
        <v>9</v>
      </c>
      <c r="C720" s="11">
        <v>28716999</v>
      </c>
      <c r="D720" s="11" t="s">
        <v>113</v>
      </c>
      <c r="E720" s="11" t="s">
        <v>114</v>
      </c>
      <c r="F720" s="11">
        <v>82.63</v>
      </c>
      <c r="G720" s="11">
        <v>561987774</v>
      </c>
      <c r="H720" s="11">
        <v>2</v>
      </c>
      <c r="I720" s="11">
        <f>SalesData[[#This Row],[Price]]*SalesData[[#This Row],[Quantity]]</f>
        <v>165.26</v>
      </c>
      <c r="J720" s="11" t="str">
        <f t="shared" si="11"/>
        <v>Low</v>
      </c>
      <c r="K720" s="21" t="s">
        <v>297</v>
      </c>
    </row>
    <row r="721" spans="1:11">
      <c r="A721" s="10">
        <v>43778</v>
      </c>
      <c r="B721" s="11" t="s">
        <v>9</v>
      </c>
      <c r="C721" s="11">
        <v>28715623</v>
      </c>
      <c r="D721" s="11" t="s">
        <v>40</v>
      </c>
      <c r="E721" s="11" t="s">
        <v>48</v>
      </c>
      <c r="F721" s="11">
        <v>82.34</v>
      </c>
      <c r="G721" s="11">
        <v>549422045</v>
      </c>
      <c r="H721" s="11">
        <v>5</v>
      </c>
      <c r="I721" s="11">
        <f>SalesData[[#This Row],[Price]]*SalesData[[#This Row],[Quantity]]</f>
        <v>411.70000000000005</v>
      </c>
      <c r="J721" s="11" t="str">
        <f t="shared" si="11"/>
        <v>Low</v>
      </c>
      <c r="K721" s="21" t="s">
        <v>297</v>
      </c>
    </row>
    <row r="722" spans="1:11">
      <c r="A722" s="10">
        <v>43782</v>
      </c>
      <c r="B722" s="11" t="s">
        <v>9</v>
      </c>
      <c r="C722" s="11">
        <v>20900070</v>
      </c>
      <c r="D722" s="11" t="s">
        <v>235</v>
      </c>
      <c r="E722" s="11" t="s">
        <v>12</v>
      </c>
      <c r="F722" s="11">
        <v>81.86</v>
      </c>
      <c r="G722" s="11">
        <v>513611439</v>
      </c>
      <c r="H722" s="11">
        <v>1</v>
      </c>
      <c r="I722" s="11">
        <f>SalesData[[#This Row],[Price]]*SalesData[[#This Row],[Quantity]]</f>
        <v>81.86</v>
      </c>
      <c r="J722" s="11" t="str">
        <f t="shared" si="11"/>
        <v>Low</v>
      </c>
      <c r="K722" s="21" t="s">
        <v>235</v>
      </c>
    </row>
    <row r="723" spans="1:11">
      <c r="A723" s="10">
        <v>43782</v>
      </c>
      <c r="B723" s="11" t="s">
        <v>9</v>
      </c>
      <c r="C723" s="11">
        <v>43900053</v>
      </c>
      <c r="D723" s="11" t="s">
        <v>235</v>
      </c>
      <c r="E723" s="11" t="s">
        <v>38</v>
      </c>
      <c r="F723" s="11">
        <v>80.260000000000005</v>
      </c>
      <c r="G723" s="11">
        <v>547191229</v>
      </c>
      <c r="H723" s="11">
        <v>4</v>
      </c>
      <c r="I723" s="11">
        <f>SalesData[[#This Row],[Price]]*SalesData[[#This Row],[Quantity]]</f>
        <v>321.04000000000002</v>
      </c>
      <c r="J723" s="11" t="str">
        <f t="shared" si="11"/>
        <v>Low</v>
      </c>
      <c r="K723" s="21" t="s">
        <v>235</v>
      </c>
    </row>
    <row r="724" spans="1:11">
      <c r="A724" s="10">
        <v>43770</v>
      </c>
      <c r="B724" s="11" t="s">
        <v>9</v>
      </c>
      <c r="C724" s="11">
        <v>28718042</v>
      </c>
      <c r="D724" s="11" t="s">
        <v>40</v>
      </c>
      <c r="E724" s="11" t="s">
        <v>174</v>
      </c>
      <c r="F724" s="11">
        <v>79.02</v>
      </c>
      <c r="G724" s="11">
        <v>535710812</v>
      </c>
      <c r="H724" s="11">
        <v>1</v>
      </c>
      <c r="I724" s="11">
        <f>SalesData[[#This Row],[Price]]*SalesData[[#This Row],[Quantity]]</f>
        <v>79.02</v>
      </c>
      <c r="J724" s="11" t="str">
        <f t="shared" si="11"/>
        <v>Low</v>
      </c>
      <c r="K724" s="21" t="s">
        <v>297</v>
      </c>
    </row>
    <row r="725" spans="1:11">
      <c r="A725" s="10">
        <v>43773</v>
      </c>
      <c r="B725" s="11" t="s">
        <v>9</v>
      </c>
      <c r="C725" s="11">
        <v>12702439</v>
      </c>
      <c r="D725" s="11" t="s">
        <v>235</v>
      </c>
      <c r="E725" s="11" t="s">
        <v>97</v>
      </c>
      <c r="F725" s="11">
        <v>78.510000000000005</v>
      </c>
      <c r="G725" s="11">
        <v>530852336</v>
      </c>
      <c r="H725" s="11">
        <v>4</v>
      </c>
      <c r="I725" s="11">
        <f>SalesData[[#This Row],[Price]]*SalesData[[#This Row],[Quantity]]</f>
        <v>314.04000000000002</v>
      </c>
      <c r="J725" s="11" t="str">
        <f t="shared" si="11"/>
        <v>Low</v>
      </c>
      <c r="K725" s="21" t="s">
        <v>235</v>
      </c>
    </row>
    <row r="726" spans="1:11">
      <c r="A726" s="10">
        <v>43784</v>
      </c>
      <c r="B726" s="11" t="s">
        <v>9</v>
      </c>
      <c r="C726" s="11">
        <v>12704781</v>
      </c>
      <c r="D726" s="11" t="s">
        <v>235</v>
      </c>
      <c r="E726" s="11" t="s">
        <v>63</v>
      </c>
      <c r="F726" s="11">
        <v>77.739999999999995</v>
      </c>
      <c r="G726" s="11">
        <v>515075737</v>
      </c>
      <c r="H726" s="11">
        <v>1</v>
      </c>
      <c r="I726" s="11">
        <f>SalesData[[#This Row],[Price]]*SalesData[[#This Row],[Quantity]]</f>
        <v>77.739999999999995</v>
      </c>
      <c r="J726" s="11" t="str">
        <f t="shared" si="11"/>
        <v>Low</v>
      </c>
      <c r="K726" s="21" t="s">
        <v>235</v>
      </c>
    </row>
    <row r="727" spans="1:11">
      <c r="A727" s="10">
        <v>43775</v>
      </c>
      <c r="B727" s="11" t="s">
        <v>9</v>
      </c>
      <c r="C727" s="11">
        <v>21401211</v>
      </c>
      <c r="D727" s="11" t="s">
        <v>45</v>
      </c>
      <c r="E727" s="11" t="s">
        <v>46</v>
      </c>
      <c r="F727" s="11">
        <v>77.63</v>
      </c>
      <c r="G727" s="11">
        <v>537936603</v>
      </c>
      <c r="H727" s="11">
        <v>1</v>
      </c>
      <c r="I727" s="11">
        <f>SalesData[[#This Row],[Price]]*SalesData[[#This Row],[Quantity]]</f>
        <v>77.63</v>
      </c>
      <c r="J727" s="11" t="str">
        <f t="shared" si="11"/>
        <v>Low</v>
      </c>
      <c r="K727" s="21" t="s">
        <v>290</v>
      </c>
    </row>
    <row r="728" spans="1:11">
      <c r="A728" s="10">
        <v>43782</v>
      </c>
      <c r="B728" s="11" t="s">
        <v>9</v>
      </c>
      <c r="C728" s="11">
        <v>21401211</v>
      </c>
      <c r="D728" s="11" t="s">
        <v>45</v>
      </c>
      <c r="E728" s="11" t="s">
        <v>46</v>
      </c>
      <c r="F728" s="11">
        <v>77.63</v>
      </c>
      <c r="G728" s="11">
        <v>537936603</v>
      </c>
      <c r="H728" s="11">
        <v>2</v>
      </c>
      <c r="I728" s="11">
        <f>SalesData[[#This Row],[Price]]*SalesData[[#This Row],[Quantity]]</f>
        <v>155.26</v>
      </c>
      <c r="J728" s="11" t="str">
        <f t="shared" si="11"/>
        <v>Low</v>
      </c>
      <c r="K728" s="21" t="s">
        <v>290</v>
      </c>
    </row>
    <row r="729" spans="1:11">
      <c r="A729" s="10">
        <v>43772</v>
      </c>
      <c r="B729" s="11" t="s">
        <v>9</v>
      </c>
      <c r="C729" s="11">
        <v>44700002</v>
      </c>
      <c r="D729" s="11" t="s">
        <v>235</v>
      </c>
      <c r="E729" s="11" t="s">
        <v>220</v>
      </c>
      <c r="F729" s="11">
        <v>77.22</v>
      </c>
      <c r="G729" s="11">
        <v>513197412</v>
      </c>
      <c r="H729" s="11">
        <v>2</v>
      </c>
      <c r="I729" s="11">
        <f>SalesData[[#This Row],[Price]]*SalesData[[#This Row],[Quantity]]</f>
        <v>154.44</v>
      </c>
      <c r="J729" s="11" t="str">
        <f t="shared" si="11"/>
        <v>Low</v>
      </c>
      <c r="K729" s="21" t="s">
        <v>235</v>
      </c>
    </row>
    <row r="730" spans="1:11">
      <c r="A730" s="10">
        <v>43778</v>
      </c>
      <c r="B730" s="11" t="s">
        <v>9</v>
      </c>
      <c r="C730" s="11">
        <v>12600037</v>
      </c>
      <c r="D730" s="11" t="s">
        <v>199</v>
      </c>
      <c r="E730" s="11" t="s">
        <v>65</v>
      </c>
      <c r="F730" s="11">
        <v>77.17</v>
      </c>
      <c r="G730" s="11">
        <v>531549122</v>
      </c>
      <c r="H730" s="11">
        <v>3</v>
      </c>
      <c r="I730" s="11">
        <f>SalesData[[#This Row],[Price]]*SalesData[[#This Row],[Quantity]]</f>
        <v>231.51</v>
      </c>
      <c r="J730" s="11" t="str">
        <f t="shared" si="11"/>
        <v>Low</v>
      </c>
      <c r="K730" s="21" t="s">
        <v>292</v>
      </c>
    </row>
    <row r="731" spans="1:11">
      <c r="A731" s="10">
        <v>43772</v>
      </c>
      <c r="B731" s="11" t="s">
        <v>9</v>
      </c>
      <c r="C731" s="11">
        <v>8800773</v>
      </c>
      <c r="D731" s="11" t="s">
        <v>142</v>
      </c>
      <c r="E731" s="11" t="s">
        <v>143</v>
      </c>
      <c r="F731" s="11">
        <v>76.3</v>
      </c>
      <c r="G731" s="11">
        <v>534492015</v>
      </c>
      <c r="H731" s="11">
        <v>2</v>
      </c>
      <c r="I731" s="11">
        <f>SalesData[[#This Row],[Price]]*SalesData[[#This Row],[Quantity]]</f>
        <v>152.6</v>
      </c>
      <c r="J731" s="11" t="str">
        <f t="shared" si="11"/>
        <v>Low</v>
      </c>
      <c r="K731" s="21" t="s">
        <v>290</v>
      </c>
    </row>
    <row r="732" spans="1:11">
      <c r="A732" s="10">
        <v>43775</v>
      </c>
      <c r="B732" s="11" t="s">
        <v>9</v>
      </c>
      <c r="C732" s="11">
        <v>22700129</v>
      </c>
      <c r="D732" s="11" t="s">
        <v>235</v>
      </c>
      <c r="E732" s="11" t="s">
        <v>66</v>
      </c>
      <c r="F732" s="11">
        <v>75.94</v>
      </c>
      <c r="G732" s="11">
        <v>542090729</v>
      </c>
      <c r="H732" s="11">
        <v>4</v>
      </c>
      <c r="I732" s="11">
        <f>SalesData[[#This Row],[Price]]*SalesData[[#This Row],[Quantity]]</f>
        <v>303.76</v>
      </c>
      <c r="J732" s="11" t="str">
        <f t="shared" si="11"/>
        <v>Low</v>
      </c>
      <c r="K732" s="21" t="s">
        <v>235</v>
      </c>
    </row>
    <row r="733" spans="1:11">
      <c r="A733" s="10">
        <v>43779</v>
      </c>
      <c r="B733" s="11" t="s">
        <v>9</v>
      </c>
      <c r="C733" s="11">
        <v>3100888</v>
      </c>
      <c r="D733" s="11" t="s">
        <v>50</v>
      </c>
      <c r="E733" s="11" t="s">
        <v>70</v>
      </c>
      <c r="F733" s="11">
        <v>75.91</v>
      </c>
      <c r="G733" s="11">
        <v>513993755</v>
      </c>
      <c r="H733" s="11">
        <v>2</v>
      </c>
      <c r="I733" s="11">
        <f>SalesData[[#This Row],[Price]]*SalesData[[#This Row],[Quantity]]</f>
        <v>151.82</v>
      </c>
      <c r="J733" s="11" t="str">
        <f t="shared" si="11"/>
        <v>Low</v>
      </c>
      <c r="K733" s="21" t="s">
        <v>292</v>
      </c>
    </row>
    <row r="734" spans="1:11">
      <c r="A734" s="10">
        <v>43780</v>
      </c>
      <c r="B734" s="11" t="s">
        <v>9</v>
      </c>
      <c r="C734" s="11">
        <v>5300079</v>
      </c>
      <c r="D734" s="11" t="s">
        <v>235</v>
      </c>
      <c r="E734" s="11" t="s">
        <v>190</v>
      </c>
      <c r="F734" s="11">
        <v>75.38</v>
      </c>
      <c r="G734" s="11">
        <v>518880126</v>
      </c>
      <c r="H734" s="11">
        <v>1</v>
      </c>
      <c r="I734" s="11">
        <f>SalesData[[#This Row],[Price]]*SalesData[[#This Row],[Quantity]]</f>
        <v>75.38</v>
      </c>
      <c r="J734" s="11" t="str">
        <f t="shared" si="11"/>
        <v>Low</v>
      </c>
      <c r="K734" s="21" t="s">
        <v>235</v>
      </c>
    </row>
    <row r="735" spans="1:11">
      <c r="A735" s="10">
        <v>43782</v>
      </c>
      <c r="B735" s="11" t="s">
        <v>9</v>
      </c>
      <c r="C735" s="11">
        <v>26203761</v>
      </c>
      <c r="D735" s="11" t="s">
        <v>235</v>
      </c>
      <c r="E735" s="11" t="s">
        <v>235</v>
      </c>
      <c r="F735" s="11">
        <v>75.16</v>
      </c>
      <c r="G735" s="11">
        <v>524786147</v>
      </c>
      <c r="H735" s="11">
        <v>1</v>
      </c>
      <c r="I735" s="11">
        <f>SalesData[[#This Row],[Price]]*SalesData[[#This Row],[Quantity]]</f>
        <v>75.16</v>
      </c>
      <c r="J735" s="11" t="str">
        <f t="shared" si="11"/>
        <v>Low</v>
      </c>
      <c r="K735" s="21" t="s">
        <v>235</v>
      </c>
    </row>
    <row r="736" spans="1:11">
      <c r="A736" s="10">
        <v>43775</v>
      </c>
      <c r="B736" s="11" t="s">
        <v>9</v>
      </c>
      <c r="C736" s="11">
        <v>12711340</v>
      </c>
      <c r="D736" s="11" t="s">
        <v>235</v>
      </c>
      <c r="E736" s="11" t="s">
        <v>23</v>
      </c>
      <c r="F736" s="11">
        <v>73.36</v>
      </c>
      <c r="G736" s="11">
        <v>540163420</v>
      </c>
      <c r="H736" s="11">
        <v>2</v>
      </c>
      <c r="I736" s="11">
        <f>SalesData[[#This Row],[Price]]*SalesData[[#This Row],[Quantity]]</f>
        <v>146.72</v>
      </c>
      <c r="J736" s="11" t="str">
        <f t="shared" si="11"/>
        <v>Low</v>
      </c>
      <c r="K736" s="21" t="s">
        <v>235</v>
      </c>
    </row>
    <row r="737" spans="1:11">
      <c r="A737" s="10">
        <v>43775</v>
      </c>
      <c r="B737" s="11" t="s">
        <v>9</v>
      </c>
      <c r="C737" s="11">
        <v>7900173</v>
      </c>
      <c r="D737" s="11" t="s">
        <v>146</v>
      </c>
      <c r="E737" s="11" t="s">
        <v>233</v>
      </c>
      <c r="F737" s="11">
        <v>73.099999999999994</v>
      </c>
      <c r="G737" s="11">
        <v>551100168</v>
      </c>
      <c r="H737" s="11">
        <v>5</v>
      </c>
      <c r="I737" s="11">
        <f>SalesData[[#This Row],[Price]]*SalesData[[#This Row],[Quantity]]</f>
        <v>365.5</v>
      </c>
      <c r="J737" s="11" t="str">
        <f t="shared" si="11"/>
        <v>Low</v>
      </c>
      <c r="K737" s="21" t="s">
        <v>293</v>
      </c>
    </row>
    <row r="738" spans="1:11">
      <c r="A738" s="10">
        <v>43774</v>
      </c>
      <c r="B738" s="11" t="s">
        <v>9</v>
      </c>
      <c r="C738" s="11">
        <v>30000238</v>
      </c>
      <c r="D738" s="11" t="s">
        <v>18</v>
      </c>
      <c r="E738" s="11" t="s">
        <v>34</v>
      </c>
      <c r="F738" s="11">
        <v>72.33</v>
      </c>
      <c r="G738" s="11">
        <v>537873516</v>
      </c>
      <c r="H738" s="11">
        <v>4</v>
      </c>
      <c r="I738" s="11">
        <f>SalesData[[#This Row],[Price]]*SalesData[[#This Row],[Quantity]]</f>
        <v>289.32</v>
      </c>
      <c r="J738" s="11" t="str">
        <f t="shared" si="11"/>
        <v>Low</v>
      </c>
      <c r="K738" s="21" t="s">
        <v>294</v>
      </c>
    </row>
    <row r="739" spans="1:11">
      <c r="A739" s="10">
        <v>43774</v>
      </c>
      <c r="B739" s="11" t="s">
        <v>9</v>
      </c>
      <c r="C739" s="11">
        <v>5701066</v>
      </c>
      <c r="D739" s="11" t="s">
        <v>59</v>
      </c>
      <c r="E739" s="11" t="s">
        <v>169</v>
      </c>
      <c r="F739" s="11">
        <v>72.069999999999993</v>
      </c>
      <c r="G739" s="11">
        <v>565824597</v>
      </c>
      <c r="H739" s="11">
        <v>1</v>
      </c>
      <c r="I739" s="11">
        <f>SalesData[[#This Row],[Price]]*SalesData[[#This Row],[Quantity]]</f>
        <v>72.069999999999993</v>
      </c>
      <c r="J739" s="11" t="str">
        <f t="shared" si="11"/>
        <v>Low</v>
      </c>
      <c r="K739" s="21" t="s">
        <v>295</v>
      </c>
    </row>
    <row r="740" spans="1:11">
      <c r="A740" s="10">
        <v>43775</v>
      </c>
      <c r="B740" s="11" t="s">
        <v>9</v>
      </c>
      <c r="C740" s="11">
        <v>15200260</v>
      </c>
      <c r="D740" s="11" t="s">
        <v>235</v>
      </c>
      <c r="E740" s="11" t="s">
        <v>215</v>
      </c>
      <c r="F740" s="11">
        <v>71.900000000000006</v>
      </c>
      <c r="G740" s="11">
        <v>513335669</v>
      </c>
      <c r="H740" s="11">
        <v>1</v>
      </c>
      <c r="I740" s="11">
        <f>SalesData[[#This Row],[Price]]*SalesData[[#This Row],[Quantity]]</f>
        <v>71.900000000000006</v>
      </c>
      <c r="J740" s="11" t="str">
        <f t="shared" si="11"/>
        <v>Low</v>
      </c>
      <c r="K740" s="21" t="s">
        <v>235</v>
      </c>
    </row>
    <row r="741" spans="1:11">
      <c r="A741" s="10">
        <v>43772</v>
      </c>
      <c r="B741" s="11" t="s">
        <v>9</v>
      </c>
      <c r="C741" s="11">
        <v>1005054</v>
      </c>
      <c r="D741" s="11" t="s">
        <v>11</v>
      </c>
      <c r="E741" s="11" t="s">
        <v>136</v>
      </c>
      <c r="F741" s="11">
        <v>71.819999999999993</v>
      </c>
      <c r="G741" s="11">
        <v>566182395</v>
      </c>
      <c r="H741" s="11">
        <v>1</v>
      </c>
      <c r="I741" s="11">
        <f>SalesData[[#This Row],[Price]]*SalesData[[#This Row],[Quantity]]</f>
        <v>71.819999999999993</v>
      </c>
      <c r="J741" s="11" t="str">
        <f t="shared" si="11"/>
        <v>Low</v>
      </c>
      <c r="K741" s="21" t="s">
        <v>290</v>
      </c>
    </row>
    <row r="742" spans="1:11">
      <c r="A742" s="10">
        <v>43777</v>
      </c>
      <c r="B742" s="11" t="s">
        <v>9</v>
      </c>
      <c r="C742" s="11">
        <v>28721741</v>
      </c>
      <c r="D742" s="11" t="s">
        <v>235</v>
      </c>
      <c r="E742" s="11" t="s">
        <v>114</v>
      </c>
      <c r="F742" s="11">
        <v>71.819999999999993</v>
      </c>
      <c r="G742" s="11">
        <v>554692011</v>
      </c>
      <c r="H742" s="11">
        <v>1</v>
      </c>
      <c r="I742" s="11">
        <f>SalesData[[#This Row],[Price]]*SalesData[[#This Row],[Quantity]]</f>
        <v>71.819999999999993</v>
      </c>
      <c r="J742" s="11" t="str">
        <f t="shared" si="11"/>
        <v>Low</v>
      </c>
      <c r="K742" s="21" t="s">
        <v>235</v>
      </c>
    </row>
    <row r="743" spans="1:11">
      <c r="A743" s="10">
        <v>43776</v>
      </c>
      <c r="B743" s="11" t="s">
        <v>9</v>
      </c>
      <c r="C743" s="11">
        <v>12705221</v>
      </c>
      <c r="D743" s="11" t="s">
        <v>235</v>
      </c>
      <c r="E743" s="11" t="s">
        <v>53</v>
      </c>
      <c r="F743" s="11">
        <v>71.56</v>
      </c>
      <c r="G743" s="11">
        <v>545549808</v>
      </c>
      <c r="H743" s="11">
        <v>1</v>
      </c>
      <c r="I743" s="11">
        <f>SalesData[[#This Row],[Price]]*SalesData[[#This Row],[Quantity]]</f>
        <v>71.56</v>
      </c>
      <c r="J743" s="11" t="str">
        <f t="shared" si="11"/>
        <v>Low</v>
      </c>
      <c r="K743" s="21" t="s">
        <v>235</v>
      </c>
    </row>
    <row r="744" spans="1:11">
      <c r="A744" s="10">
        <v>43771</v>
      </c>
      <c r="B744" s="11" t="s">
        <v>9</v>
      </c>
      <c r="C744" s="11">
        <v>5100375</v>
      </c>
      <c r="D744" s="11" t="s">
        <v>45</v>
      </c>
      <c r="E744" s="11" t="s">
        <v>12</v>
      </c>
      <c r="F744" s="11">
        <v>70.790000000000006</v>
      </c>
      <c r="G744" s="11">
        <v>517386419</v>
      </c>
      <c r="H744" s="11">
        <v>3</v>
      </c>
      <c r="I744" s="11">
        <f>SalesData[[#This Row],[Price]]*SalesData[[#This Row],[Quantity]]</f>
        <v>212.37</v>
      </c>
      <c r="J744" s="11" t="str">
        <f t="shared" si="11"/>
        <v>Low</v>
      </c>
      <c r="K744" s="21" t="s">
        <v>290</v>
      </c>
    </row>
    <row r="745" spans="1:11">
      <c r="A745" s="10">
        <v>43783</v>
      </c>
      <c r="B745" s="11" t="s">
        <v>9</v>
      </c>
      <c r="C745" s="11">
        <v>4803879</v>
      </c>
      <c r="D745" s="11" t="s">
        <v>33</v>
      </c>
      <c r="E745" s="11" t="s">
        <v>12</v>
      </c>
      <c r="F745" s="11">
        <v>70.790000000000006</v>
      </c>
      <c r="G745" s="11">
        <v>513153386</v>
      </c>
      <c r="H745" s="11">
        <v>1</v>
      </c>
      <c r="I745" s="11">
        <f>SalesData[[#This Row],[Price]]*SalesData[[#This Row],[Quantity]]</f>
        <v>70.790000000000006</v>
      </c>
      <c r="J745" s="11" t="str">
        <f t="shared" si="11"/>
        <v>Low</v>
      </c>
      <c r="K745" s="21" t="s">
        <v>290</v>
      </c>
    </row>
    <row r="746" spans="1:11">
      <c r="A746" s="10">
        <v>43780</v>
      </c>
      <c r="B746" s="11" t="s">
        <v>9</v>
      </c>
      <c r="C746" s="11">
        <v>12711111</v>
      </c>
      <c r="D746" s="11" t="s">
        <v>235</v>
      </c>
      <c r="E746" s="11" t="s">
        <v>115</v>
      </c>
      <c r="F746" s="11">
        <v>70.400000000000006</v>
      </c>
      <c r="G746" s="11">
        <v>513477471</v>
      </c>
      <c r="H746" s="11">
        <v>4</v>
      </c>
      <c r="I746" s="11">
        <f>SalesData[[#This Row],[Price]]*SalesData[[#This Row],[Quantity]]</f>
        <v>281.60000000000002</v>
      </c>
      <c r="J746" s="11" t="str">
        <f t="shared" si="11"/>
        <v>Low</v>
      </c>
      <c r="K746" s="21" t="s">
        <v>235</v>
      </c>
    </row>
    <row r="747" spans="1:11">
      <c r="A747" s="10">
        <v>43776</v>
      </c>
      <c r="B747" s="11" t="s">
        <v>9</v>
      </c>
      <c r="C747" s="11">
        <v>12703688</v>
      </c>
      <c r="D747" s="11" t="s">
        <v>235</v>
      </c>
      <c r="E747" s="11" t="s">
        <v>159</v>
      </c>
      <c r="F747" s="11">
        <v>70.27</v>
      </c>
      <c r="G747" s="11">
        <v>530773499</v>
      </c>
      <c r="H747" s="11">
        <v>4</v>
      </c>
      <c r="I747" s="11">
        <f>SalesData[[#This Row],[Price]]*SalesData[[#This Row],[Quantity]]</f>
        <v>281.08</v>
      </c>
      <c r="J747" s="11" t="str">
        <f t="shared" si="11"/>
        <v>Low</v>
      </c>
      <c r="K747" s="21" t="s">
        <v>235</v>
      </c>
    </row>
    <row r="748" spans="1:11">
      <c r="A748" s="10">
        <v>43782</v>
      </c>
      <c r="B748" s="11" t="s">
        <v>9</v>
      </c>
      <c r="C748" s="11">
        <v>12709942</v>
      </c>
      <c r="D748" s="11" t="s">
        <v>235</v>
      </c>
      <c r="E748" s="11" t="s">
        <v>115</v>
      </c>
      <c r="F748" s="11">
        <v>70.27</v>
      </c>
      <c r="G748" s="11">
        <v>566301119</v>
      </c>
      <c r="H748" s="11">
        <v>5</v>
      </c>
      <c r="I748" s="11">
        <f>SalesData[[#This Row],[Price]]*SalesData[[#This Row],[Quantity]]</f>
        <v>351.34999999999997</v>
      </c>
      <c r="J748" s="11" t="str">
        <f t="shared" si="11"/>
        <v>Low</v>
      </c>
      <c r="K748" s="21" t="s">
        <v>235</v>
      </c>
    </row>
    <row r="749" spans="1:11">
      <c r="A749" s="10">
        <v>43772</v>
      </c>
      <c r="B749" s="11" t="s">
        <v>9</v>
      </c>
      <c r="C749" s="11">
        <v>1004496</v>
      </c>
      <c r="D749" s="11" t="s">
        <v>11</v>
      </c>
      <c r="E749" s="11" t="s">
        <v>58</v>
      </c>
      <c r="F749" s="11">
        <v>69.239999999999995</v>
      </c>
      <c r="G749" s="11">
        <v>535751928</v>
      </c>
      <c r="H749" s="11">
        <v>4</v>
      </c>
      <c r="I749" s="11">
        <f>SalesData[[#This Row],[Price]]*SalesData[[#This Row],[Quantity]]</f>
        <v>276.95999999999998</v>
      </c>
      <c r="J749" s="11" t="str">
        <f t="shared" si="11"/>
        <v>Low</v>
      </c>
      <c r="K749" s="21" t="s">
        <v>290</v>
      </c>
    </row>
    <row r="750" spans="1:11">
      <c r="A750" s="10">
        <v>43770</v>
      </c>
      <c r="B750" s="11" t="s">
        <v>9</v>
      </c>
      <c r="C750" s="11">
        <v>39500010</v>
      </c>
      <c r="D750" s="11" t="s">
        <v>235</v>
      </c>
      <c r="E750" s="11" t="s">
        <v>235</v>
      </c>
      <c r="F750" s="11">
        <v>69.239999999999995</v>
      </c>
      <c r="G750" s="11">
        <v>512769579</v>
      </c>
      <c r="H750" s="11">
        <v>4</v>
      </c>
      <c r="I750" s="11">
        <f>SalesData[[#This Row],[Price]]*SalesData[[#This Row],[Quantity]]</f>
        <v>276.95999999999998</v>
      </c>
      <c r="J750" s="11" t="str">
        <f t="shared" si="11"/>
        <v>Low</v>
      </c>
      <c r="K750" s="21" t="s">
        <v>235</v>
      </c>
    </row>
    <row r="751" spans="1:11">
      <c r="A751" s="10">
        <v>43782</v>
      </c>
      <c r="B751" s="11" t="s">
        <v>9</v>
      </c>
      <c r="C751" s="11">
        <v>1004496</v>
      </c>
      <c r="D751" s="11" t="s">
        <v>11</v>
      </c>
      <c r="E751" s="11" t="s">
        <v>58</v>
      </c>
      <c r="F751" s="11">
        <v>69.239999999999995</v>
      </c>
      <c r="G751" s="11">
        <v>512987361</v>
      </c>
      <c r="H751" s="11">
        <v>3</v>
      </c>
      <c r="I751" s="11">
        <f>SalesData[[#This Row],[Price]]*SalesData[[#This Row],[Quantity]]</f>
        <v>207.71999999999997</v>
      </c>
      <c r="J751" s="11" t="str">
        <f t="shared" si="11"/>
        <v>Low</v>
      </c>
      <c r="K751" s="21" t="s">
        <v>290</v>
      </c>
    </row>
    <row r="752" spans="1:11">
      <c r="A752" s="10">
        <v>43778</v>
      </c>
      <c r="B752" s="11" t="s">
        <v>9</v>
      </c>
      <c r="C752" s="11">
        <v>12705581</v>
      </c>
      <c r="D752" s="11" t="s">
        <v>235</v>
      </c>
      <c r="E752" s="11" t="s">
        <v>235</v>
      </c>
      <c r="F752" s="11">
        <v>69.08</v>
      </c>
      <c r="G752" s="11">
        <v>546375815</v>
      </c>
      <c r="H752" s="11">
        <v>3</v>
      </c>
      <c r="I752" s="11">
        <f>SalesData[[#This Row],[Price]]*SalesData[[#This Row],[Quantity]]</f>
        <v>207.24</v>
      </c>
      <c r="J752" s="11" t="str">
        <f t="shared" si="11"/>
        <v>Low</v>
      </c>
      <c r="K752" s="21" t="s">
        <v>235</v>
      </c>
    </row>
    <row r="753" spans="1:11">
      <c r="A753" s="10">
        <v>43774</v>
      </c>
      <c r="B753" s="11" t="s">
        <v>9</v>
      </c>
      <c r="C753" s="11">
        <v>10701101</v>
      </c>
      <c r="D753" s="11" t="s">
        <v>235</v>
      </c>
      <c r="E753" s="11" t="s">
        <v>131</v>
      </c>
      <c r="F753" s="11">
        <v>68.319999999999993</v>
      </c>
      <c r="G753" s="11">
        <v>512486732</v>
      </c>
      <c r="H753" s="11">
        <v>2</v>
      </c>
      <c r="I753" s="11">
        <f>SalesData[[#This Row],[Price]]*SalesData[[#This Row],[Quantity]]</f>
        <v>136.63999999999999</v>
      </c>
      <c r="J753" s="11" t="str">
        <f t="shared" si="11"/>
        <v>Low</v>
      </c>
      <c r="K753" s="21" t="s">
        <v>235</v>
      </c>
    </row>
    <row r="754" spans="1:11">
      <c r="A754" s="10">
        <v>43774</v>
      </c>
      <c r="B754" s="11" t="s">
        <v>9</v>
      </c>
      <c r="C754" s="11">
        <v>12709541</v>
      </c>
      <c r="D754" s="11" t="s">
        <v>235</v>
      </c>
      <c r="E754" s="11" t="s">
        <v>106</v>
      </c>
      <c r="F754" s="11">
        <v>67.44</v>
      </c>
      <c r="G754" s="11">
        <v>553025898</v>
      </c>
      <c r="H754" s="11">
        <v>5</v>
      </c>
      <c r="I754" s="11">
        <f>SalesData[[#This Row],[Price]]*SalesData[[#This Row],[Quantity]]</f>
        <v>337.2</v>
      </c>
      <c r="J754" s="11" t="str">
        <f t="shared" si="11"/>
        <v>Low</v>
      </c>
      <c r="K754" s="21" t="s">
        <v>235</v>
      </c>
    </row>
    <row r="755" spans="1:11">
      <c r="A755" s="10">
        <v>43778</v>
      </c>
      <c r="B755" s="11" t="s">
        <v>9</v>
      </c>
      <c r="C755" s="11">
        <v>2600446</v>
      </c>
      <c r="D755" s="11" t="s">
        <v>235</v>
      </c>
      <c r="E755" s="11" t="s">
        <v>68</v>
      </c>
      <c r="F755" s="11">
        <v>67.400000000000006</v>
      </c>
      <c r="G755" s="11">
        <v>540291668</v>
      </c>
      <c r="H755" s="11">
        <v>3</v>
      </c>
      <c r="I755" s="11">
        <f>SalesData[[#This Row],[Price]]*SalesData[[#This Row],[Quantity]]</f>
        <v>202.20000000000002</v>
      </c>
      <c r="J755" s="11" t="str">
        <f t="shared" si="11"/>
        <v>Low</v>
      </c>
      <c r="K755" s="21" t="s">
        <v>235</v>
      </c>
    </row>
    <row r="756" spans="1:11">
      <c r="A756" s="10">
        <v>43784</v>
      </c>
      <c r="B756" s="11" t="s">
        <v>9</v>
      </c>
      <c r="C756" s="11">
        <v>16600216</v>
      </c>
      <c r="D756" s="11" t="s">
        <v>235</v>
      </c>
      <c r="E756" s="11" t="s">
        <v>95</v>
      </c>
      <c r="F756" s="11">
        <v>66.930000000000007</v>
      </c>
      <c r="G756" s="11">
        <v>519048208</v>
      </c>
      <c r="H756" s="11">
        <v>2</v>
      </c>
      <c r="I756" s="11">
        <f>SalesData[[#This Row],[Price]]*SalesData[[#This Row],[Quantity]]</f>
        <v>133.86000000000001</v>
      </c>
      <c r="J756" s="11" t="str">
        <f t="shared" si="11"/>
        <v>Low</v>
      </c>
      <c r="K756" s="21" t="s">
        <v>235</v>
      </c>
    </row>
    <row r="757" spans="1:11">
      <c r="A757" s="10">
        <v>43782</v>
      </c>
      <c r="B757" s="11" t="s">
        <v>9</v>
      </c>
      <c r="C757" s="11">
        <v>16600216</v>
      </c>
      <c r="D757" s="11" t="s">
        <v>235</v>
      </c>
      <c r="E757" s="11" t="s">
        <v>95</v>
      </c>
      <c r="F757" s="11">
        <v>66.930000000000007</v>
      </c>
      <c r="G757" s="11">
        <v>543672266</v>
      </c>
      <c r="H757" s="11">
        <v>4</v>
      </c>
      <c r="I757" s="11">
        <f>SalesData[[#This Row],[Price]]*SalesData[[#This Row],[Quantity]]</f>
        <v>267.72000000000003</v>
      </c>
      <c r="J757" s="11" t="str">
        <f t="shared" si="11"/>
        <v>Low</v>
      </c>
      <c r="K757" s="21" t="s">
        <v>235</v>
      </c>
    </row>
    <row r="758" spans="1:11">
      <c r="A758" s="10">
        <v>43782</v>
      </c>
      <c r="B758" s="11" t="s">
        <v>9</v>
      </c>
      <c r="C758" s="11">
        <v>1004209</v>
      </c>
      <c r="D758" s="11" t="s">
        <v>11</v>
      </c>
      <c r="E758" s="11" t="s">
        <v>13</v>
      </c>
      <c r="F758" s="11">
        <v>88.29</v>
      </c>
      <c r="G758" s="11">
        <v>566300372</v>
      </c>
      <c r="H758" s="11">
        <v>5</v>
      </c>
      <c r="I758" s="11">
        <f>SalesData[[#This Row],[Price]]*SalesData[[#This Row],[Quantity]]</f>
        <v>441.45000000000005</v>
      </c>
      <c r="J758" s="11" t="str">
        <f t="shared" si="11"/>
        <v>Low</v>
      </c>
      <c r="K758" s="21" t="s">
        <v>290</v>
      </c>
    </row>
    <row r="759" spans="1:11">
      <c r="A759" s="10">
        <v>43777</v>
      </c>
      <c r="B759" s="11" t="s">
        <v>9</v>
      </c>
      <c r="C759" s="11">
        <v>1004209</v>
      </c>
      <c r="D759" s="11" t="s">
        <v>11</v>
      </c>
      <c r="E759" s="11" t="s">
        <v>13</v>
      </c>
      <c r="F759" s="11">
        <v>88.29</v>
      </c>
      <c r="G759" s="11">
        <v>560328829</v>
      </c>
      <c r="H759" s="11">
        <v>1</v>
      </c>
      <c r="I759" s="11">
        <f>SalesData[[#This Row],[Price]]*SalesData[[#This Row],[Quantity]]</f>
        <v>88.29</v>
      </c>
      <c r="J759" s="11" t="str">
        <f t="shared" si="11"/>
        <v>Low</v>
      </c>
      <c r="K759" s="21" t="s">
        <v>290</v>
      </c>
    </row>
    <row r="760" spans="1:11">
      <c r="A760" s="10">
        <v>43783</v>
      </c>
      <c r="B760" s="11" t="s">
        <v>9</v>
      </c>
      <c r="C760" s="11">
        <v>2900983</v>
      </c>
      <c r="D760" s="11" t="s">
        <v>28</v>
      </c>
      <c r="E760" s="11" t="s">
        <v>89</v>
      </c>
      <c r="F760" s="11">
        <v>66.900000000000006</v>
      </c>
      <c r="G760" s="11">
        <v>539737415</v>
      </c>
      <c r="H760" s="11">
        <v>2</v>
      </c>
      <c r="I760" s="11">
        <f>SalesData[[#This Row],[Price]]*SalesData[[#This Row],[Quantity]]</f>
        <v>133.80000000000001</v>
      </c>
      <c r="J760" s="11" t="str">
        <f t="shared" si="11"/>
        <v>Low</v>
      </c>
      <c r="K760" s="21" t="s">
        <v>292</v>
      </c>
    </row>
    <row r="761" spans="1:11">
      <c r="A761" s="10">
        <v>43770</v>
      </c>
      <c r="B761" s="11" t="s">
        <v>9</v>
      </c>
      <c r="C761" s="11">
        <v>7300440</v>
      </c>
      <c r="D761" s="11" t="s">
        <v>235</v>
      </c>
      <c r="E761" s="11" t="s">
        <v>102</v>
      </c>
      <c r="F761" s="11">
        <v>66.87</v>
      </c>
      <c r="G761" s="11">
        <v>515531985</v>
      </c>
      <c r="H761" s="11">
        <v>2</v>
      </c>
      <c r="I761" s="11">
        <f>SalesData[[#This Row],[Price]]*SalesData[[#This Row],[Quantity]]</f>
        <v>133.74</v>
      </c>
      <c r="J761" s="11" t="str">
        <f t="shared" si="11"/>
        <v>Low</v>
      </c>
      <c r="K761" s="21" t="s">
        <v>235</v>
      </c>
    </row>
    <row r="762" spans="1:11">
      <c r="A762" s="10">
        <v>43782</v>
      </c>
      <c r="B762" s="11" t="s">
        <v>9</v>
      </c>
      <c r="C762" s="11">
        <v>7300440</v>
      </c>
      <c r="D762" s="11" t="s">
        <v>235</v>
      </c>
      <c r="E762" s="11" t="s">
        <v>102</v>
      </c>
      <c r="F762" s="11">
        <v>66.87</v>
      </c>
      <c r="G762" s="11">
        <v>552026815</v>
      </c>
      <c r="H762" s="11">
        <v>3</v>
      </c>
      <c r="I762" s="11">
        <f>SalesData[[#This Row],[Price]]*SalesData[[#This Row],[Quantity]]</f>
        <v>200.61</v>
      </c>
      <c r="J762" s="11" t="str">
        <f t="shared" si="11"/>
        <v>Low</v>
      </c>
      <c r="K762" s="21" t="s">
        <v>235</v>
      </c>
    </row>
    <row r="763" spans="1:11">
      <c r="A763" s="10">
        <v>43772</v>
      </c>
      <c r="B763" s="11" t="s">
        <v>9</v>
      </c>
      <c r="C763" s="11">
        <v>28721172</v>
      </c>
      <c r="D763" s="11" t="s">
        <v>113</v>
      </c>
      <c r="E763" s="11" t="s">
        <v>200</v>
      </c>
      <c r="F763" s="11">
        <v>66.41</v>
      </c>
      <c r="G763" s="11">
        <v>530327518</v>
      </c>
      <c r="H763" s="11">
        <v>4</v>
      </c>
      <c r="I763" s="11">
        <f>SalesData[[#This Row],[Price]]*SalesData[[#This Row],[Quantity]]</f>
        <v>265.64</v>
      </c>
      <c r="J763" s="11" t="str">
        <f t="shared" si="11"/>
        <v>Low</v>
      </c>
      <c r="K763" s="21" t="s">
        <v>297</v>
      </c>
    </row>
    <row r="764" spans="1:11">
      <c r="A764" s="10">
        <v>43780</v>
      </c>
      <c r="B764" s="11" t="s">
        <v>9</v>
      </c>
      <c r="C764" s="11">
        <v>12707065</v>
      </c>
      <c r="D764" s="11" t="s">
        <v>235</v>
      </c>
      <c r="E764" s="11" t="s">
        <v>159</v>
      </c>
      <c r="F764" s="11">
        <v>65.38</v>
      </c>
      <c r="G764" s="11">
        <v>517495805</v>
      </c>
      <c r="H764" s="11">
        <v>4</v>
      </c>
      <c r="I764" s="11">
        <f>SalesData[[#This Row],[Price]]*SalesData[[#This Row],[Quantity]]</f>
        <v>261.52</v>
      </c>
      <c r="J764" s="11" t="str">
        <f t="shared" si="11"/>
        <v>Low</v>
      </c>
      <c r="K764" s="21" t="s">
        <v>235</v>
      </c>
    </row>
    <row r="765" spans="1:11">
      <c r="A765" s="10">
        <v>43784</v>
      </c>
      <c r="B765" s="11" t="s">
        <v>9</v>
      </c>
      <c r="C765" s="11">
        <v>12705440</v>
      </c>
      <c r="D765" s="11" t="s">
        <v>235</v>
      </c>
      <c r="E765" s="11" t="s">
        <v>52</v>
      </c>
      <c r="F765" s="11">
        <v>65.28</v>
      </c>
      <c r="G765" s="11">
        <v>518559831</v>
      </c>
      <c r="H765" s="11">
        <v>2</v>
      </c>
      <c r="I765" s="11">
        <f>SalesData[[#This Row],[Price]]*SalesData[[#This Row],[Quantity]]</f>
        <v>130.56</v>
      </c>
      <c r="J765" s="11" t="str">
        <f t="shared" si="11"/>
        <v>Low</v>
      </c>
      <c r="K765" s="21" t="s">
        <v>235</v>
      </c>
    </row>
    <row r="766" spans="1:11">
      <c r="A766" s="10">
        <v>43777</v>
      </c>
      <c r="B766" s="11" t="s">
        <v>9</v>
      </c>
      <c r="C766" s="11">
        <v>19200012</v>
      </c>
      <c r="D766" s="11" t="s">
        <v>167</v>
      </c>
      <c r="E766" s="11" t="s">
        <v>168</v>
      </c>
      <c r="F766" s="11">
        <v>64.78</v>
      </c>
      <c r="G766" s="11">
        <v>514449287</v>
      </c>
      <c r="H766" s="11">
        <v>4</v>
      </c>
      <c r="I766" s="11">
        <f>SalesData[[#This Row],[Price]]*SalesData[[#This Row],[Quantity]]</f>
        <v>259.12</v>
      </c>
      <c r="J766" s="11" t="str">
        <f t="shared" si="11"/>
        <v>Low</v>
      </c>
      <c r="K766" s="21" t="s">
        <v>294</v>
      </c>
    </row>
    <row r="767" spans="1:11">
      <c r="A767" s="10">
        <v>43775</v>
      </c>
      <c r="B767" s="11" t="s">
        <v>9</v>
      </c>
      <c r="C767" s="11">
        <v>28721299</v>
      </c>
      <c r="D767" s="11" t="s">
        <v>113</v>
      </c>
      <c r="E767" s="11" t="s">
        <v>209</v>
      </c>
      <c r="F767" s="11">
        <v>64.61</v>
      </c>
      <c r="G767" s="11">
        <v>557082466</v>
      </c>
      <c r="H767" s="11">
        <v>2</v>
      </c>
      <c r="I767" s="11">
        <f>SalesData[[#This Row],[Price]]*SalesData[[#This Row],[Quantity]]</f>
        <v>129.22</v>
      </c>
      <c r="J767" s="11" t="str">
        <f t="shared" si="11"/>
        <v>Low</v>
      </c>
      <c r="K767" s="21" t="s">
        <v>297</v>
      </c>
    </row>
    <row r="768" spans="1:11">
      <c r="A768" s="10">
        <v>43784</v>
      </c>
      <c r="B768" s="11" t="s">
        <v>9</v>
      </c>
      <c r="C768" s="11">
        <v>3900841</v>
      </c>
      <c r="D768" s="11" t="s">
        <v>76</v>
      </c>
      <c r="E768" s="11" t="s">
        <v>78</v>
      </c>
      <c r="F768" s="11">
        <v>64.17</v>
      </c>
      <c r="G768" s="11">
        <v>552405813</v>
      </c>
      <c r="H768" s="11">
        <v>4</v>
      </c>
      <c r="I768" s="11">
        <f>SalesData[[#This Row],[Price]]*SalesData[[#This Row],[Quantity]]</f>
        <v>256.68</v>
      </c>
      <c r="J768" s="11" t="str">
        <f t="shared" si="11"/>
        <v>Low</v>
      </c>
      <c r="K768" s="21" t="s">
        <v>292</v>
      </c>
    </row>
    <row r="769" spans="1:11">
      <c r="A769" s="10">
        <v>43778</v>
      </c>
      <c r="B769" s="11" t="s">
        <v>9</v>
      </c>
      <c r="C769" s="11">
        <v>1004210</v>
      </c>
      <c r="D769" s="11" t="s">
        <v>11</v>
      </c>
      <c r="E769" s="11" t="s">
        <v>13</v>
      </c>
      <c r="F769" s="11">
        <v>88.24</v>
      </c>
      <c r="G769" s="11">
        <v>550610851</v>
      </c>
      <c r="H769" s="11">
        <v>4</v>
      </c>
      <c r="I769" s="11">
        <f>SalesData[[#This Row],[Price]]*SalesData[[#This Row],[Quantity]]</f>
        <v>352.96</v>
      </c>
      <c r="J769" s="11" t="str">
        <f t="shared" si="11"/>
        <v>Low</v>
      </c>
      <c r="K769" s="21" t="s">
        <v>290</v>
      </c>
    </row>
    <row r="770" spans="1:11">
      <c r="A770" s="10">
        <v>43782</v>
      </c>
      <c r="B770" s="11" t="s">
        <v>9</v>
      </c>
      <c r="C770" s="11">
        <v>3700338</v>
      </c>
      <c r="D770" s="11" t="s">
        <v>57</v>
      </c>
      <c r="E770" s="11" t="s">
        <v>13</v>
      </c>
      <c r="F770" s="11">
        <v>66.900000000000006</v>
      </c>
      <c r="G770" s="11">
        <v>539952572</v>
      </c>
      <c r="H770" s="11">
        <v>5</v>
      </c>
      <c r="I770" s="11">
        <f>SalesData[[#This Row],[Price]]*SalesData[[#This Row],[Quantity]]</f>
        <v>334.5</v>
      </c>
      <c r="J770" s="11" t="str">
        <f t="shared" ref="J770:J833" si="12">IF(F770&lt;500, "Low", IF(F770&lt;1500, "Medium", "High"))</f>
        <v>Low</v>
      </c>
      <c r="K770" s="21" t="s">
        <v>292</v>
      </c>
    </row>
    <row r="771" spans="1:11">
      <c r="A771" s="10">
        <v>43782</v>
      </c>
      <c r="B771" s="11" t="s">
        <v>9</v>
      </c>
      <c r="C771" s="11">
        <v>3700338</v>
      </c>
      <c r="D771" s="11" t="s">
        <v>57</v>
      </c>
      <c r="E771" s="11" t="s">
        <v>13</v>
      </c>
      <c r="F771" s="11">
        <v>66.900000000000006</v>
      </c>
      <c r="G771" s="11">
        <v>558439221</v>
      </c>
      <c r="H771" s="11">
        <v>2</v>
      </c>
      <c r="I771" s="11">
        <f>SalesData[[#This Row],[Price]]*SalesData[[#This Row],[Quantity]]</f>
        <v>133.80000000000001</v>
      </c>
      <c r="J771" s="11" t="str">
        <f t="shared" si="12"/>
        <v>Low</v>
      </c>
      <c r="K771" s="21" t="s">
        <v>292</v>
      </c>
    </row>
    <row r="772" spans="1:11">
      <c r="A772" s="10">
        <v>43784</v>
      </c>
      <c r="B772" s="11" t="s">
        <v>9</v>
      </c>
      <c r="C772" s="11">
        <v>26500092</v>
      </c>
      <c r="D772" s="11" t="s">
        <v>235</v>
      </c>
      <c r="E772" s="11" t="s">
        <v>14</v>
      </c>
      <c r="F772" s="11">
        <v>63.84</v>
      </c>
      <c r="G772" s="11">
        <v>545710706</v>
      </c>
      <c r="H772" s="11">
        <v>5</v>
      </c>
      <c r="I772" s="11">
        <f>SalesData[[#This Row],[Price]]*SalesData[[#This Row],[Quantity]]</f>
        <v>319.20000000000005</v>
      </c>
      <c r="J772" s="11" t="str">
        <f t="shared" si="12"/>
        <v>Low</v>
      </c>
      <c r="K772" s="21" t="s">
        <v>235</v>
      </c>
    </row>
    <row r="773" spans="1:11">
      <c r="A773" s="10">
        <v>43780</v>
      </c>
      <c r="B773" s="11" t="s">
        <v>9</v>
      </c>
      <c r="C773" s="11">
        <v>28721757</v>
      </c>
      <c r="D773" s="11" t="s">
        <v>113</v>
      </c>
      <c r="E773" s="11" t="s">
        <v>114</v>
      </c>
      <c r="F773" s="11">
        <v>62.81</v>
      </c>
      <c r="G773" s="11">
        <v>542347627</v>
      </c>
      <c r="H773" s="11">
        <v>1</v>
      </c>
      <c r="I773" s="11">
        <f>SalesData[[#This Row],[Price]]*SalesData[[#This Row],[Quantity]]</f>
        <v>62.81</v>
      </c>
      <c r="J773" s="11" t="str">
        <f t="shared" si="12"/>
        <v>Low</v>
      </c>
      <c r="K773" s="21" t="s">
        <v>297</v>
      </c>
    </row>
    <row r="774" spans="1:11">
      <c r="A774" s="10">
        <v>43771</v>
      </c>
      <c r="B774" s="11" t="s">
        <v>9</v>
      </c>
      <c r="C774" s="11">
        <v>6100130</v>
      </c>
      <c r="D774" s="11" t="s">
        <v>160</v>
      </c>
      <c r="E774" s="11" t="s">
        <v>161</v>
      </c>
      <c r="F774" s="11">
        <v>62.78</v>
      </c>
      <c r="G774" s="11">
        <v>515168378</v>
      </c>
      <c r="H774" s="11">
        <v>2</v>
      </c>
      <c r="I774" s="11">
        <f>SalesData[[#This Row],[Price]]*SalesData[[#This Row],[Quantity]]</f>
        <v>125.56</v>
      </c>
      <c r="J774" s="11" t="str">
        <f t="shared" si="12"/>
        <v>Low</v>
      </c>
      <c r="K774" s="21" t="s">
        <v>295</v>
      </c>
    </row>
    <row r="775" spans="1:11">
      <c r="A775" s="10">
        <v>43779</v>
      </c>
      <c r="B775" s="11" t="s">
        <v>9</v>
      </c>
      <c r="C775" s="11">
        <v>34800610</v>
      </c>
      <c r="D775" s="11" t="s">
        <v>235</v>
      </c>
      <c r="E775" s="11" t="s">
        <v>27</v>
      </c>
      <c r="F775" s="11">
        <v>62.55</v>
      </c>
      <c r="G775" s="11">
        <v>512393153</v>
      </c>
      <c r="H775" s="11">
        <v>4</v>
      </c>
      <c r="I775" s="11">
        <f>SalesData[[#This Row],[Price]]*SalesData[[#This Row],[Quantity]]</f>
        <v>250.2</v>
      </c>
      <c r="J775" s="11" t="str">
        <f t="shared" si="12"/>
        <v>Low</v>
      </c>
      <c r="K775" s="21" t="s">
        <v>235</v>
      </c>
    </row>
    <row r="776" spans="1:11">
      <c r="A776" s="10">
        <v>43772</v>
      </c>
      <c r="B776" s="11" t="s">
        <v>9</v>
      </c>
      <c r="C776" s="11">
        <v>7203344</v>
      </c>
      <c r="D776" s="11" t="s">
        <v>235</v>
      </c>
      <c r="E776" s="11" t="s">
        <v>110</v>
      </c>
      <c r="F776" s="11">
        <v>61.75</v>
      </c>
      <c r="G776" s="11">
        <v>545669243</v>
      </c>
      <c r="H776" s="11">
        <v>1</v>
      </c>
      <c r="I776" s="11">
        <f>SalesData[[#This Row],[Price]]*SalesData[[#This Row],[Quantity]]</f>
        <v>61.75</v>
      </c>
      <c r="J776" s="11" t="str">
        <f t="shared" si="12"/>
        <v>Low</v>
      </c>
      <c r="K776" s="21" t="s">
        <v>235</v>
      </c>
    </row>
    <row r="777" spans="1:11">
      <c r="A777" s="10">
        <v>43783</v>
      </c>
      <c r="B777" s="11" t="s">
        <v>9</v>
      </c>
      <c r="C777" s="11">
        <v>42300020</v>
      </c>
      <c r="D777" s="11" t="s">
        <v>117</v>
      </c>
      <c r="E777" s="11" t="s">
        <v>235</v>
      </c>
      <c r="F777" s="11">
        <v>61.75</v>
      </c>
      <c r="G777" s="11">
        <v>513993504</v>
      </c>
      <c r="H777" s="11">
        <v>2</v>
      </c>
      <c r="I777" s="11">
        <f>SalesData[[#This Row],[Price]]*SalesData[[#This Row],[Quantity]]</f>
        <v>123.5</v>
      </c>
      <c r="J777" s="11" t="str">
        <f t="shared" si="12"/>
        <v>Low</v>
      </c>
      <c r="K777" s="21" t="s">
        <v>293</v>
      </c>
    </row>
    <row r="778" spans="1:11">
      <c r="A778" s="10">
        <v>43784</v>
      </c>
      <c r="B778" s="11" t="s">
        <v>9</v>
      </c>
      <c r="C778" s="11">
        <v>4804409</v>
      </c>
      <c r="D778" s="11" t="s">
        <v>33</v>
      </c>
      <c r="E778" s="11" t="s">
        <v>64</v>
      </c>
      <c r="F778" s="11">
        <v>61.65</v>
      </c>
      <c r="G778" s="11">
        <v>555031859</v>
      </c>
      <c r="H778" s="11">
        <v>3</v>
      </c>
      <c r="I778" s="11">
        <f>SalesData[[#This Row],[Price]]*SalesData[[#This Row],[Quantity]]</f>
        <v>184.95</v>
      </c>
      <c r="J778" s="11" t="str">
        <f t="shared" si="12"/>
        <v>Low</v>
      </c>
      <c r="K778" s="21" t="s">
        <v>290</v>
      </c>
    </row>
    <row r="779" spans="1:11">
      <c r="A779" s="10">
        <v>43776</v>
      </c>
      <c r="B779" s="11" t="s">
        <v>9</v>
      </c>
      <c r="C779" s="11">
        <v>4804409</v>
      </c>
      <c r="D779" s="11" t="s">
        <v>33</v>
      </c>
      <c r="E779" s="11" t="s">
        <v>64</v>
      </c>
      <c r="F779" s="11">
        <v>61.65</v>
      </c>
      <c r="G779" s="11">
        <v>545703807</v>
      </c>
      <c r="H779" s="11">
        <v>3</v>
      </c>
      <c r="I779" s="11">
        <f>SalesData[[#This Row],[Price]]*SalesData[[#This Row],[Quantity]]</f>
        <v>184.95</v>
      </c>
      <c r="J779" s="11" t="str">
        <f t="shared" si="12"/>
        <v>Low</v>
      </c>
      <c r="K779" s="21" t="s">
        <v>290</v>
      </c>
    </row>
    <row r="780" spans="1:11">
      <c r="A780" s="10">
        <v>43773</v>
      </c>
      <c r="B780" s="11" t="s">
        <v>9</v>
      </c>
      <c r="C780" s="11">
        <v>4804607</v>
      </c>
      <c r="D780" s="11" t="s">
        <v>33</v>
      </c>
      <c r="E780" s="11" t="s">
        <v>64</v>
      </c>
      <c r="F780" s="11">
        <v>61.65</v>
      </c>
      <c r="G780" s="11">
        <v>545703807</v>
      </c>
      <c r="H780" s="11">
        <v>2</v>
      </c>
      <c r="I780" s="11">
        <f>SalesData[[#This Row],[Price]]*SalesData[[#This Row],[Quantity]]</f>
        <v>123.3</v>
      </c>
      <c r="J780" s="11" t="str">
        <f t="shared" si="12"/>
        <v>Low</v>
      </c>
      <c r="K780" s="21" t="s">
        <v>290</v>
      </c>
    </row>
    <row r="781" spans="1:11">
      <c r="A781" s="10">
        <v>43775</v>
      </c>
      <c r="B781" s="11" t="s">
        <v>9</v>
      </c>
      <c r="C781" s="11">
        <v>4804607</v>
      </c>
      <c r="D781" s="11" t="s">
        <v>33</v>
      </c>
      <c r="E781" s="11" t="s">
        <v>64</v>
      </c>
      <c r="F781" s="11">
        <v>61.65</v>
      </c>
      <c r="G781" s="11">
        <v>518625624</v>
      </c>
      <c r="H781" s="11">
        <v>5</v>
      </c>
      <c r="I781" s="11">
        <f>SalesData[[#This Row],[Price]]*SalesData[[#This Row],[Quantity]]</f>
        <v>308.25</v>
      </c>
      <c r="J781" s="11" t="str">
        <f t="shared" si="12"/>
        <v>Low</v>
      </c>
      <c r="K781" s="21" t="s">
        <v>290</v>
      </c>
    </row>
    <row r="782" spans="1:11">
      <c r="A782" s="10">
        <v>43776</v>
      </c>
      <c r="B782" s="11" t="s">
        <v>9</v>
      </c>
      <c r="C782" s="11">
        <v>4804409</v>
      </c>
      <c r="D782" s="11" t="s">
        <v>33</v>
      </c>
      <c r="E782" s="11" t="s">
        <v>64</v>
      </c>
      <c r="F782" s="11">
        <v>61.65</v>
      </c>
      <c r="G782" s="11">
        <v>554174428</v>
      </c>
      <c r="H782" s="11">
        <v>2</v>
      </c>
      <c r="I782" s="11">
        <f>SalesData[[#This Row],[Price]]*SalesData[[#This Row],[Quantity]]</f>
        <v>123.3</v>
      </c>
      <c r="J782" s="11" t="str">
        <f t="shared" si="12"/>
        <v>Low</v>
      </c>
      <c r="K782" s="21" t="s">
        <v>290</v>
      </c>
    </row>
    <row r="783" spans="1:11">
      <c r="A783" s="10">
        <v>43772</v>
      </c>
      <c r="B783" s="11" t="s">
        <v>9</v>
      </c>
      <c r="C783" s="11">
        <v>4804607</v>
      </c>
      <c r="D783" s="11" t="s">
        <v>33</v>
      </c>
      <c r="E783" s="11" t="s">
        <v>64</v>
      </c>
      <c r="F783" s="11">
        <v>61.65</v>
      </c>
      <c r="G783" s="11">
        <v>518625624</v>
      </c>
      <c r="H783" s="11">
        <v>4</v>
      </c>
      <c r="I783" s="11">
        <f>SalesData[[#This Row],[Price]]*SalesData[[#This Row],[Quantity]]</f>
        <v>246.6</v>
      </c>
      <c r="J783" s="11" t="str">
        <f t="shared" si="12"/>
        <v>Low</v>
      </c>
      <c r="K783" s="21" t="s">
        <v>290</v>
      </c>
    </row>
    <row r="784" spans="1:11">
      <c r="A784" s="10">
        <v>43778</v>
      </c>
      <c r="B784" s="11" t="s">
        <v>9</v>
      </c>
      <c r="C784" s="11">
        <v>4804607</v>
      </c>
      <c r="D784" s="11" t="s">
        <v>33</v>
      </c>
      <c r="E784" s="11" t="s">
        <v>64</v>
      </c>
      <c r="F784" s="11">
        <v>61.65</v>
      </c>
      <c r="G784" s="11">
        <v>518625624</v>
      </c>
      <c r="H784" s="11">
        <v>4</v>
      </c>
      <c r="I784" s="11">
        <f>SalesData[[#This Row],[Price]]*SalesData[[#This Row],[Quantity]]</f>
        <v>246.6</v>
      </c>
      <c r="J784" s="11" t="str">
        <f t="shared" si="12"/>
        <v>Low</v>
      </c>
      <c r="K784" s="21" t="s">
        <v>290</v>
      </c>
    </row>
    <row r="785" spans="1:11">
      <c r="A785" s="10">
        <v>43784</v>
      </c>
      <c r="B785" s="11" t="s">
        <v>9</v>
      </c>
      <c r="C785" s="11">
        <v>4804607</v>
      </c>
      <c r="D785" s="11" t="s">
        <v>33</v>
      </c>
      <c r="E785" s="11" t="s">
        <v>64</v>
      </c>
      <c r="F785" s="11">
        <v>61.65</v>
      </c>
      <c r="G785" s="11">
        <v>518625624</v>
      </c>
      <c r="H785" s="11">
        <v>5</v>
      </c>
      <c r="I785" s="11">
        <f>SalesData[[#This Row],[Price]]*SalesData[[#This Row],[Quantity]]</f>
        <v>308.25</v>
      </c>
      <c r="J785" s="11" t="str">
        <f t="shared" si="12"/>
        <v>Low</v>
      </c>
      <c r="K785" s="21" t="s">
        <v>290</v>
      </c>
    </row>
    <row r="786" spans="1:11">
      <c r="A786" s="10">
        <v>43773</v>
      </c>
      <c r="B786" s="11" t="s">
        <v>9</v>
      </c>
      <c r="C786" s="11">
        <v>12711992</v>
      </c>
      <c r="D786" s="11" t="s">
        <v>235</v>
      </c>
      <c r="E786" s="11" t="s">
        <v>36</v>
      </c>
      <c r="F786" s="11">
        <v>61.01</v>
      </c>
      <c r="G786" s="11">
        <v>514611821</v>
      </c>
      <c r="H786" s="11">
        <v>4</v>
      </c>
      <c r="I786" s="11">
        <f>SalesData[[#This Row],[Price]]*SalesData[[#This Row],[Quantity]]</f>
        <v>244.04</v>
      </c>
      <c r="J786" s="11" t="str">
        <f t="shared" si="12"/>
        <v>Low</v>
      </c>
      <c r="K786" s="21" t="s">
        <v>235</v>
      </c>
    </row>
    <row r="787" spans="1:11">
      <c r="A787" s="10">
        <v>43778</v>
      </c>
      <c r="B787" s="11" t="s">
        <v>9</v>
      </c>
      <c r="C787" s="11">
        <v>26401414</v>
      </c>
      <c r="D787" s="11" t="s">
        <v>235</v>
      </c>
      <c r="E787" s="11" t="s">
        <v>14</v>
      </c>
      <c r="F787" s="11">
        <v>59.72</v>
      </c>
      <c r="G787" s="11">
        <v>512373621</v>
      </c>
      <c r="H787" s="11">
        <v>1</v>
      </c>
      <c r="I787" s="11">
        <f>SalesData[[#This Row],[Price]]*SalesData[[#This Row],[Quantity]]</f>
        <v>59.72</v>
      </c>
      <c r="J787" s="11" t="str">
        <f t="shared" si="12"/>
        <v>Low</v>
      </c>
      <c r="K787" s="21" t="s">
        <v>235</v>
      </c>
    </row>
    <row r="788" spans="1:11">
      <c r="A788" s="10">
        <v>43782</v>
      </c>
      <c r="B788" s="11" t="s">
        <v>9</v>
      </c>
      <c r="C788" s="11">
        <v>1005210</v>
      </c>
      <c r="D788" s="11" t="s">
        <v>11</v>
      </c>
      <c r="E788" s="11" t="s">
        <v>179</v>
      </c>
      <c r="F788" s="11">
        <v>59.18</v>
      </c>
      <c r="G788" s="11">
        <v>563958829</v>
      </c>
      <c r="H788" s="11">
        <v>5</v>
      </c>
      <c r="I788" s="11">
        <f>SalesData[[#This Row],[Price]]*SalesData[[#This Row],[Quantity]]</f>
        <v>295.89999999999998</v>
      </c>
      <c r="J788" s="11" t="str">
        <f t="shared" si="12"/>
        <v>Low</v>
      </c>
      <c r="K788" s="21" t="s">
        <v>290</v>
      </c>
    </row>
    <row r="789" spans="1:11">
      <c r="A789" s="10">
        <v>43781</v>
      </c>
      <c r="B789" s="11" t="s">
        <v>9</v>
      </c>
      <c r="C789" s="11">
        <v>2900934</v>
      </c>
      <c r="D789" s="11" t="s">
        <v>28</v>
      </c>
      <c r="E789" s="11" t="s">
        <v>213</v>
      </c>
      <c r="F789" s="11">
        <v>59.13</v>
      </c>
      <c r="G789" s="11">
        <v>512797691</v>
      </c>
      <c r="H789" s="11">
        <v>1</v>
      </c>
      <c r="I789" s="11">
        <f>SalesData[[#This Row],[Price]]*SalesData[[#This Row],[Quantity]]</f>
        <v>59.13</v>
      </c>
      <c r="J789" s="11" t="str">
        <f t="shared" si="12"/>
        <v>Low</v>
      </c>
      <c r="K789" s="21" t="s">
        <v>292</v>
      </c>
    </row>
    <row r="790" spans="1:11">
      <c r="A790" s="10">
        <v>43783</v>
      </c>
      <c r="B790" s="11" t="s">
        <v>9</v>
      </c>
      <c r="C790" s="11">
        <v>12718696</v>
      </c>
      <c r="D790" s="11" t="s">
        <v>235</v>
      </c>
      <c r="E790" s="11" t="s">
        <v>115</v>
      </c>
      <c r="F790" s="11">
        <v>57.92</v>
      </c>
      <c r="G790" s="11">
        <v>518640375</v>
      </c>
      <c r="H790" s="11">
        <v>4</v>
      </c>
      <c r="I790" s="11">
        <f>SalesData[[#This Row],[Price]]*SalesData[[#This Row],[Quantity]]</f>
        <v>231.68</v>
      </c>
      <c r="J790" s="11" t="str">
        <f t="shared" si="12"/>
        <v>Low</v>
      </c>
      <c r="K790" s="21" t="s">
        <v>235</v>
      </c>
    </row>
    <row r="791" spans="1:11">
      <c r="A791" s="10">
        <v>43770</v>
      </c>
      <c r="B791" s="11" t="s">
        <v>9</v>
      </c>
      <c r="C791" s="11">
        <v>12702457</v>
      </c>
      <c r="D791" s="11" t="s">
        <v>235</v>
      </c>
      <c r="E791" s="11" t="s">
        <v>159</v>
      </c>
      <c r="F791" s="11">
        <v>57.92</v>
      </c>
      <c r="G791" s="11">
        <v>562808745</v>
      </c>
      <c r="H791" s="11">
        <v>3</v>
      </c>
      <c r="I791" s="11">
        <f>SalesData[[#This Row],[Price]]*SalesData[[#This Row],[Quantity]]</f>
        <v>173.76</v>
      </c>
      <c r="J791" s="11" t="str">
        <f t="shared" si="12"/>
        <v>Low</v>
      </c>
      <c r="K791" s="21" t="s">
        <v>235</v>
      </c>
    </row>
    <row r="792" spans="1:11">
      <c r="A792" s="10">
        <v>43781</v>
      </c>
      <c r="B792" s="11" t="s">
        <v>9</v>
      </c>
      <c r="C792" s="11">
        <v>22800026</v>
      </c>
      <c r="D792" s="11" t="s">
        <v>235</v>
      </c>
      <c r="E792" s="11" t="s">
        <v>189</v>
      </c>
      <c r="F792" s="11">
        <v>56.63</v>
      </c>
      <c r="G792" s="11">
        <v>517679125</v>
      </c>
      <c r="H792" s="11">
        <v>5</v>
      </c>
      <c r="I792" s="11">
        <f>SalesData[[#This Row],[Price]]*SalesData[[#This Row],[Quantity]]</f>
        <v>283.15000000000003</v>
      </c>
      <c r="J792" s="11" t="str">
        <f t="shared" si="12"/>
        <v>Low</v>
      </c>
      <c r="K792" s="21" t="s">
        <v>235</v>
      </c>
    </row>
    <row r="793" spans="1:11">
      <c r="A793" s="10">
        <v>43779</v>
      </c>
      <c r="B793" s="11" t="s">
        <v>9</v>
      </c>
      <c r="C793" s="11">
        <v>3800979</v>
      </c>
      <c r="D793" s="11" t="s">
        <v>157</v>
      </c>
      <c r="E793" s="11" t="s">
        <v>44</v>
      </c>
      <c r="F793" s="11">
        <v>56.6</v>
      </c>
      <c r="G793" s="11">
        <v>556886471</v>
      </c>
      <c r="H793" s="11">
        <v>4</v>
      </c>
      <c r="I793" s="11">
        <f>SalesData[[#This Row],[Price]]*SalesData[[#This Row],[Quantity]]</f>
        <v>226.4</v>
      </c>
      <c r="J793" s="11" t="str">
        <f t="shared" si="12"/>
        <v>Low</v>
      </c>
      <c r="K793" s="21" t="s">
        <v>292</v>
      </c>
    </row>
    <row r="794" spans="1:11">
      <c r="A794" s="10">
        <v>43779</v>
      </c>
      <c r="B794" s="11" t="s">
        <v>9</v>
      </c>
      <c r="C794" s="11">
        <v>13500024</v>
      </c>
      <c r="D794" s="11" t="s">
        <v>10</v>
      </c>
      <c r="E794" s="11" t="s">
        <v>235</v>
      </c>
      <c r="F794" s="11">
        <v>56.6</v>
      </c>
      <c r="G794" s="11">
        <v>513798638</v>
      </c>
      <c r="H794" s="11">
        <v>5</v>
      </c>
      <c r="I794" s="11">
        <f>SalesData[[#This Row],[Price]]*SalesData[[#This Row],[Quantity]]</f>
        <v>283</v>
      </c>
      <c r="J794" s="11" t="str">
        <f t="shared" si="12"/>
        <v>Low</v>
      </c>
      <c r="K794" s="21" t="s">
        <v>293</v>
      </c>
    </row>
    <row r="795" spans="1:11">
      <c r="A795" s="10">
        <v>43775</v>
      </c>
      <c r="B795" s="11" t="s">
        <v>9</v>
      </c>
      <c r="C795" s="11">
        <v>12719632</v>
      </c>
      <c r="D795" s="11" t="s">
        <v>235</v>
      </c>
      <c r="E795" s="11" t="s">
        <v>141</v>
      </c>
      <c r="F795" s="11">
        <v>56.37</v>
      </c>
      <c r="G795" s="11">
        <v>542964972</v>
      </c>
      <c r="H795" s="11">
        <v>4</v>
      </c>
      <c r="I795" s="11">
        <f>SalesData[[#This Row],[Price]]*SalesData[[#This Row],[Quantity]]</f>
        <v>225.48</v>
      </c>
      <c r="J795" s="11" t="str">
        <f t="shared" si="12"/>
        <v>Low</v>
      </c>
      <c r="K795" s="21" t="s">
        <v>235</v>
      </c>
    </row>
    <row r="796" spans="1:11">
      <c r="A796" s="10">
        <v>43779</v>
      </c>
      <c r="B796" s="11" t="s">
        <v>9</v>
      </c>
      <c r="C796" s="11">
        <v>4803682</v>
      </c>
      <c r="D796" s="11" t="s">
        <v>33</v>
      </c>
      <c r="E796" s="11" t="s">
        <v>223</v>
      </c>
      <c r="F796" s="11">
        <v>56.35</v>
      </c>
      <c r="G796" s="11">
        <v>541025243</v>
      </c>
      <c r="H796" s="11">
        <v>3</v>
      </c>
      <c r="I796" s="11">
        <f>SalesData[[#This Row],[Price]]*SalesData[[#This Row],[Quantity]]</f>
        <v>169.05</v>
      </c>
      <c r="J796" s="11" t="str">
        <f t="shared" si="12"/>
        <v>Low</v>
      </c>
      <c r="K796" s="21" t="s">
        <v>290</v>
      </c>
    </row>
    <row r="797" spans="1:11">
      <c r="A797" s="10">
        <v>43771</v>
      </c>
      <c r="B797" s="11" t="s">
        <v>9</v>
      </c>
      <c r="C797" s="11">
        <v>8800093</v>
      </c>
      <c r="D797" s="11" t="s">
        <v>142</v>
      </c>
      <c r="E797" s="11" t="s">
        <v>143</v>
      </c>
      <c r="F797" s="11">
        <v>56.29</v>
      </c>
      <c r="G797" s="11">
        <v>514280319</v>
      </c>
      <c r="H797" s="11">
        <v>2</v>
      </c>
      <c r="I797" s="11">
        <f>SalesData[[#This Row],[Price]]*SalesData[[#This Row],[Quantity]]</f>
        <v>112.58</v>
      </c>
      <c r="J797" s="11" t="str">
        <f t="shared" si="12"/>
        <v>Low</v>
      </c>
      <c r="K797" s="21" t="s">
        <v>290</v>
      </c>
    </row>
    <row r="798" spans="1:11">
      <c r="A798" s="10">
        <v>43774</v>
      </c>
      <c r="B798" s="11" t="s">
        <v>9</v>
      </c>
      <c r="C798" s="11">
        <v>26402783</v>
      </c>
      <c r="D798" s="11" t="s">
        <v>235</v>
      </c>
      <c r="E798" s="11" t="s">
        <v>235</v>
      </c>
      <c r="F798" s="11">
        <v>55.86</v>
      </c>
      <c r="G798" s="11">
        <v>547961159</v>
      </c>
      <c r="H798" s="11">
        <v>4</v>
      </c>
      <c r="I798" s="11">
        <f>SalesData[[#This Row],[Price]]*SalesData[[#This Row],[Quantity]]</f>
        <v>223.44</v>
      </c>
      <c r="J798" s="11" t="str">
        <f t="shared" si="12"/>
        <v>Low</v>
      </c>
      <c r="K798" s="21" t="s">
        <v>235</v>
      </c>
    </row>
    <row r="799" spans="1:11">
      <c r="A799" s="10">
        <v>43780</v>
      </c>
      <c r="B799" s="11" t="s">
        <v>9</v>
      </c>
      <c r="C799" s="11">
        <v>21400508</v>
      </c>
      <c r="D799" s="11" t="s">
        <v>45</v>
      </c>
      <c r="E799" s="11" t="s">
        <v>46</v>
      </c>
      <c r="F799" s="11">
        <v>55.86</v>
      </c>
      <c r="G799" s="11">
        <v>512610490</v>
      </c>
      <c r="H799" s="11">
        <v>4</v>
      </c>
      <c r="I799" s="11">
        <f>SalesData[[#This Row],[Price]]*SalesData[[#This Row],[Quantity]]</f>
        <v>223.44</v>
      </c>
      <c r="J799" s="11" t="str">
        <f t="shared" si="12"/>
        <v>Low</v>
      </c>
      <c r="K799" s="21" t="s">
        <v>290</v>
      </c>
    </row>
    <row r="800" spans="1:11">
      <c r="A800" s="10">
        <v>43780</v>
      </c>
      <c r="B800" s="11" t="s">
        <v>9</v>
      </c>
      <c r="C800" s="11">
        <v>7300476</v>
      </c>
      <c r="D800" s="11" t="s">
        <v>235</v>
      </c>
      <c r="E800" s="11" t="s">
        <v>166</v>
      </c>
      <c r="F800" s="11">
        <v>55.34</v>
      </c>
      <c r="G800" s="11">
        <v>514437157</v>
      </c>
      <c r="H800" s="11">
        <v>3</v>
      </c>
      <c r="I800" s="11">
        <f>SalesData[[#This Row],[Price]]*SalesData[[#This Row],[Quantity]]</f>
        <v>166.02</v>
      </c>
      <c r="J800" s="11" t="str">
        <f t="shared" si="12"/>
        <v>Low</v>
      </c>
      <c r="K800" s="21" t="s">
        <v>235</v>
      </c>
    </row>
    <row r="801" spans="1:11">
      <c r="A801" s="10">
        <v>43772</v>
      </c>
      <c r="B801" s="11" t="s">
        <v>9</v>
      </c>
      <c r="C801" s="11">
        <v>12716717</v>
      </c>
      <c r="D801" s="11" t="s">
        <v>235</v>
      </c>
      <c r="E801" s="11" t="s">
        <v>141</v>
      </c>
      <c r="F801" s="11">
        <v>54.83</v>
      </c>
      <c r="G801" s="11">
        <v>517043718</v>
      </c>
      <c r="H801" s="11">
        <v>1</v>
      </c>
      <c r="I801" s="11">
        <f>SalesData[[#This Row],[Price]]*SalesData[[#This Row],[Quantity]]</f>
        <v>54.83</v>
      </c>
      <c r="J801" s="11" t="str">
        <f t="shared" si="12"/>
        <v>Low</v>
      </c>
      <c r="K801" s="21" t="s">
        <v>235</v>
      </c>
    </row>
    <row r="802" spans="1:11">
      <c r="A802" s="10">
        <v>43781</v>
      </c>
      <c r="B802" s="11" t="s">
        <v>9</v>
      </c>
      <c r="C802" s="11">
        <v>12700975</v>
      </c>
      <c r="D802" s="11" t="s">
        <v>235</v>
      </c>
      <c r="E802" s="11" t="s">
        <v>63</v>
      </c>
      <c r="F802" s="11">
        <v>54.25</v>
      </c>
      <c r="G802" s="11">
        <v>561782205</v>
      </c>
      <c r="H802" s="11">
        <v>3</v>
      </c>
      <c r="I802" s="11">
        <f>SalesData[[#This Row],[Price]]*SalesData[[#This Row],[Quantity]]</f>
        <v>162.75</v>
      </c>
      <c r="J802" s="11" t="str">
        <f t="shared" si="12"/>
        <v>Low</v>
      </c>
      <c r="K802" s="21" t="s">
        <v>235</v>
      </c>
    </row>
    <row r="803" spans="1:11">
      <c r="A803" s="10">
        <v>43777</v>
      </c>
      <c r="B803" s="11" t="s">
        <v>9</v>
      </c>
      <c r="C803" s="11">
        <v>12705773</v>
      </c>
      <c r="D803" s="11" t="s">
        <v>235</v>
      </c>
      <c r="E803" s="11" t="s">
        <v>52</v>
      </c>
      <c r="F803" s="11">
        <v>54.06</v>
      </c>
      <c r="G803" s="11">
        <v>518559831</v>
      </c>
      <c r="H803" s="11">
        <v>5</v>
      </c>
      <c r="I803" s="11">
        <f>SalesData[[#This Row],[Price]]*SalesData[[#This Row],[Quantity]]</f>
        <v>270.3</v>
      </c>
      <c r="J803" s="11" t="str">
        <f t="shared" si="12"/>
        <v>Low</v>
      </c>
      <c r="K803" s="21" t="s">
        <v>235</v>
      </c>
    </row>
    <row r="804" spans="1:11">
      <c r="A804" s="10">
        <v>43779</v>
      </c>
      <c r="B804" s="11" t="s">
        <v>9</v>
      </c>
      <c r="C804" s="11">
        <v>4802057</v>
      </c>
      <c r="D804" s="11" t="s">
        <v>33</v>
      </c>
      <c r="E804" s="11" t="s">
        <v>195</v>
      </c>
      <c r="F804" s="11">
        <v>53.8</v>
      </c>
      <c r="G804" s="11">
        <v>536139937</v>
      </c>
      <c r="H804" s="11">
        <v>1</v>
      </c>
      <c r="I804" s="11">
        <f>SalesData[[#This Row],[Price]]*SalesData[[#This Row],[Quantity]]</f>
        <v>53.8</v>
      </c>
      <c r="J804" s="11" t="str">
        <f t="shared" si="12"/>
        <v>Low</v>
      </c>
      <c r="K804" s="21" t="s">
        <v>290</v>
      </c>
    </row>
    <row r="805" spans="1:11">
      <c r="A805" s="10">
        <v>43773</v>
      </c>
      <c r="B805" s="11" t="s">
        <v>9</v>
      </c>
      <c r="C805" s="11">
        <v>12700931</v>
      </c>
      <c r="D805" s="11" t="s">
        <v>235</v>
      </c>
      <c r="E805" s="11" t="s">
        <v>63</v>
      </c>
      <c r="F805" s="11">
        <v>52.92</v>
      </c>
      <c r="G805" s="11">
        <v>515167299</v>
      </c>
      <c r="H805" s="11">
        <v>1</v>
      </c>
      <c r="I805" s="11">
        <f>SalesData[[#This Row],[Price]]*SalesData[[#This Row],[Quantity]]</f>
        <v>52.92</v>
      </c>
      <c r="J805" s="11" t="str">
        <f t="shared" si="12"/>
        <v>Low</v>
      </c>
      <c r="K805" s="21" t="s">
        <v>235</v>
      </c>
    </row>
    <row r="806" spans="1:11">
      <c r="A806" s="10">
        <v>43780</v>
      </c>
      <c r="B806" s="11" t="s">
        <v>9</v>
      </c>
      <c r="C806" s="11">
        <v>12709740</v>
      </c>
      <c r="D806" s="11" t="s">
        <v>235</v>
      </c>
      <c r="E806" s="11" t="s">
        <v>115</v>
      </c>
      <c r="F806" s="11">
        <v>52.77</v>
      </c>
      <c r="G806" s="11">
        <v>551026937</v>
      </c>
      <c r="H806" s="11">
        <v>5</v>
      </c>
      <c r="I806" s="11">
        <f>SalesData[[#This Row],[Price]]*SalesData[[#This Row],[Quantity]]</f>
        <v>263.85000000000002</v>
      </c>
      <c r="J806" s="11" t="str">
        <f t="shared" si="12"/>
        <v>Low</v>
      </c>
      <c r="K806" s="21" t="s">
        <v>235</v>
      </c>
    </row>
    <row r="807" spans="1:11">
      <c r="A807" s="10">
        <v>43782</v>
      </c>
      <c r="B807" s="11" t="s">
        <v>9</v>
      </c>
      <c r="C807" s="11">
        <v>13400917</v>
      </c>
      <c r="D807" s="11" t="s">
        <v>235</v>
      </c>
      <c r="E807" s="11" t="s">
        <v>235</v>
      </c>
      <c r="F807" s="11">
        <v>52.23</v>
      </c>
      <c r="G807" s="11">
        <v>527624518</v>
      </c>
      <c r="H807" s="11">
        <v>3</v>
      </c>
      <c r="I807" s="11">
        <f>SalesData[[#This Row],[Price]]*SalesData[[#This Row],[Quantity]]</f>
        <v>156.69</v>
      </c>
      <c r="J807" s="11" t="str">
        <f t="shared" si="12"/>
        <v>Low</v>
      </c>
      <c r="K807" s="21" t="s">
        <v>235</v>
      </c>
    </row>
    <row r="808" spans="1:11">
      <c r="A808" s="10">
        <v>43772</v>
      </c>
      <c r="B808" s="11" t="s">
        <v>9</v>
      </c>
      <c r="C808" s="11">
        <v>21401210</v>
      </c>
      <c r="D808" s="11" t="s">
        <v>45</v>
      </c>
      <c r="E808" s="11" t="s">
        <v>46</v>
      </c>
      <c r="F808" s="11">
        <v>52.2</v>
      </c>
      <c r="G808" s="11">
        <v>566282354</v>
      </c>
      <c r="H808" s="11">
        <v>1</v>
      </c>
      <c r="I808" s="11">
        <f>SalesData[[#This Row],[Price]]*SalesData[[#This Row],[Quantity]]</f>
        <v>52.2</v>
      </c>
      <c r="J808" s="11" t="str">
        <f t="shared" si="12"/>
        <v>Low</v>
      </c>
      <c r="K808" s="21" t="s">
        <v>290</v>
      </c>
    </row>
    <row r="809" spans="1:11">
      <c r="A809" s="10">
        <v>43779</v>
      </c>
      <c r="B809" s="11" t="s">
        <v>9</v>
      </c>
      <c r="C809" s="11">
        <v>28704386</v>
      </c>
      <c r="D809" s="11" t="s">
        <v>40</v>
      </c>
      <c r="E809" s="11" t="s">
        <v>49</v>
      </c>
      <c r="F809" s="11">
        <v>51.48</v>
      </c>
      <c r="G809" s="11">
        <v>524543436</v>
      </c>
      <c r="H809" s="11">
        <v>5</v>
      </c>
      <c r="I809" s="11">
        <f>SalesData[[#This Row],[Price]]*SalesData[[#This Row],[Quantity]]</f>
        <v>257.39999999999998</v>
      </c>
      <c r="J809" s="11" t="str">
        <f t="shared" si="12"/>
        <v>Low</v>
      </c>
      <c r="K809" s="21" t="s">
        <v>297</v>
      </c>
    </row>
    <row r="810" spans="1:11">
      <c r="A810" s="10">
        <v>43782</v>
      </c>
      <c r="B810" s="11" t="s">
        <v>9</v>
      </c>
      <c r="C810" s="11">
        <v>26403394</v>
      </c>
      <c r="D810" s="11" t="s">
        <v>235</v>
      </c>
      <c r="E810" s="11" t="s">
        <v>235</v>
      </c>
      <c r="F810" s="11">
        <v>51.22</v>
      </c>
      <c r="G810" s="11">
        <v>559793011</v>
      </c>
      <c r="H810" s="11">
        <v>1</v>
      </c>
      <c r="I810" s="11">
        <f>SalesData[[#This Row],[Price]]*SalesData[[#This Row],[Quantity]]</f>
        <v>51.22</v>
      </c>
      <c r="J810" s="11" t="str">
        <f t="shared" si="12"/>
        <v>Low</v>
      </c>
      <c r="K810" s="21" t="s">
        <v>235</v>
      </c>
    </row>
    <row r="811" spans="1:11">
      <c r="A811" s="10">
        <v>43783</v>
      </c>
      <c r="B811" s="11" t="s">
        <v>9</v>
      </c>
      <c r="C811" s="11">
        <v>26403394</v>
      </c>
      <c r="D811" s="11" t="s">
        <v>235</v>
      </c>
      <c r="E811" s="11" t="s">
        <v>235</v>
      </c>
      <c r="F811" s="11">
        <v>51.22</v>
      </c>
      <c r="G811" s="11">
        <v>518291241</v>
      </c>
      <c r="H811" s="11">
        <v>3</v>
      </c>
      <c r="I811" s="11">
        <f>SalesData[[#This Row],[Price]]*SalesData[[#This Row],[Quantity]]</f>
        <v>153.66</v>
      </c>
      <c r="J811" s="11" t="str">
        <f t="shared" si="12"/>
        <v>Low</v>
      </c>
      <c r="K811" s="21" t="s">
        <v>235</v>
      </c>
    </row>
    <row r="812" spans="1:11">
      <c r="A812" s="10">
        <v>43780</v>
      </c>
      <c r="B812" s="11" t="s">
        <v>9</v>
      </c>
      <c r="C812" s="11">
        <v>12706656</v>
      </c>
      <c r="D812" s="11" t="s">
        <v>235</v>
      </c>
      <c r="E812" s="11" t="s">
        <v>63</v>
      </c>
      <c r="F812" s="11">
        <v>50.45</v>
      </c>
      <c r="G812" s="11">
        <v>540952151</v>
      </c>
      <c r="H812" s="11">
        <v>2</v>
      </c>
      <c r="I812" s="11">
        <f>SalesData[[#This Row],[Price]]*SalesData[[#This Row],[Quantity]]</f>
        <v>100.9</v>
      </c>
      <c r="J812" s="11" t="str">
        <f t="shared" si="12"/>
        <v>Low</v>
      </c>
      <c r="K812" s="21" t="s">
        <v>235</v>
      </c>
    </row>
    <row r="813" spans="1:11">
      <c r="A813" s="10">
        <v>43782</v>
      </c>
      <c r="B813" s="11" t="s">
        <v>9</v>
      </c>
      <c r="C813" s="11">
        <v>9800361</v>
      </c>
      <c r="D813" s="11" t="s">
        <v>235</v>
      </c>
      <c r="E813" s="11" t="s">
        <v>235</v>
      </c>
      <c r="F813" s="11">
        <v>49.94</v>
      </c>
      <c r="G813" s="11">
        <v>519440975</v>
      </c>
      <c r="H813" s="11">
        <v>2</v>
      </c>
      <c r="I813" s="11">
        <f>SalesData[[#This Row],[Price]]*SalesData[[#This Row],[Quantity]]</f>
        <v>99.88</v>
      </c>
      <c r="J813" s="11" t="str">
        <f t="shared" si="12"/>
        <v>Low</v>
      </c>
      <c r="K813" s="21" t="s">
        <v>235</v>
      </c>
    </row>
    <row r="814" spans="1:11">
      <c r="A814" s="10">
        <v>43778</v>
      </c>
      <c r="B814" s="11" t="s">
        <v>9</v>
      </c>
      <c r="C814" s="11">
        <v>12702956</v>
      </c>
      <c r="D814" s="11" t="s">
        <v>235</v>
      </c>
      <c r="E814" s="11" t="s">
        <v>63</v>
      </c>
      <c r="F814" s="11">
        <v>49.82</v>
      </c>
      <c r="G814" s="11">
        <v>514838540</v>
      </c>
      <c r="H814" s="11">
        <v>2</v>
      </c>
      <c r="I814" s="11">
        <f>SalesData[[#This Row],[Price]]*SalesData[[#This Row],[Quantity]]</f>
        <v>99.64</v>
      </c>
      <c r="J814" s="11" t="str">
        <f t="shared" si="12"/>
        <v>Low</v>
      </c>
      <c r="K814" s="21" t="s">
        <v>235</v>
      </c>
    </row>
    <row r="815" spans="1:11">
      <c r="A815" s="10">
        <v>43774</v>
      </c>
      <c r="B815" s="11" t="s">
        <v>9</v>
      </c>
      <c r="C815" s="11">
        <v>12719961</v>
      </c>
      <c r="D815" s="11" t="s">
        <v>235</v>
      </c>
      <c r="E815" s="11" t="s">
        <v>141</v>
      </c>
      <c r="F815" s="11">
        <v>49.68</v>
      </c>
      <c r="G815" s="11">
        <v>512653939</v>
      </c>
      <c r="H815" s="11">
        <v>1</v>
      </c>
      <c r="I815" s="11">
        <f>SalesData[[#This Row],[Price]]*SalesData[[#This Row],[Quantity]]</f>
        <v>49.68</v>
      </c>
      <c r="J815" s="11" t="str">
        <f t="shared" si="12"/>
        <v>Low</v>
      </c>
      <c r="K815" s="21" t="s">
        <v>235</v>
      </c>
    </row>
    <row r="816" spans="1:11">
      <c r="A816" s="10">
        <v>43776</v>
      </c>
      <c r="B816" s="11" t="s">
        <v>9</v>
      </c>
      <c r="C816" s="11">
        <v>3100034</v>
      </c>
      <c r="D816" s="11" t="s">
        <v>50</v>
      </c>
      <c r="E816" s="11" t="s">
        <v>51</v>
      </c>
      <c r="F816" s="11">
        <v>48.88</v>
      </c>
      <c r="G816" s="11">
        <v>566285005</v>
      </c>
      <c r="H816" s="11">
        <v>3</v>
      </c>
      <c r="I816" s="11">
        <f>SalesData[[#This Row],[Price]]*SalesData[[#This Row],[Quantity]]</f>
        <v>146.64000000000001</v>
      </c>
      <c r="J816" s="11" t="str">
        <f t="shared" si="12"/>
        <v>Low</v>
      </c>
      <c r="K816" s="21" t="s">
        <v>292</v>
      </c>
    </row>
    <row r="817" spans="1:11">
      <c r="A817" s="10">
        <v>43784</v>
      </c>
      <c r="B817" s="11" t="s">
        <v>9</v>
      </c>
      <c r="C817" s="11">
        <v>8801049</v>
      </c>
      <c r="D817" s="11" t="s">
        <v>142</v>
      </c>
      <c r="E817" s="11" t="s">
        <v>85</v>
      </c>
      <c r="F817" s="11">
        <v>48.62</v>
      </c>
      <c r="G817" s="11">
        <v>566036483</v>
      </c>
      <c r="H817" s="11">
        <v>4</v>
      </c>
      <c r="I817" s="11">
        <f>SalesData[[#This Row],[Price]]*SalesData[[#This Row],[Quantity]]</f>
        <v>194.48</v>
      </c>
      <c r="J817" s="11" t="str">
        <f t="shared" si="12"/>
        <v>Low</v>
      </c>
      <c r="K817" s="21" t="s">
        <v>290</v>
      </c>
    </row>
    <row r="818" spans="1:11">
      <c r="A818" s="10">
        <v>43773</v>
      </c>
      <c r="B818" s="11" t="s">
        <v>9</v>
      </c>
      <c r="C818" s="11">
        <v>3701221</v>
      </c>
      <c r="D818" s="11" t="s">
        <v>57</v>
      </c>
      <c r="E818" s="11" t="s">
        <v>111</v>
      </c>
      <c r="F818" s="11">
        <v>48.37</v>
      </c>
      <c r="G818" s="11">
        <v>566179353</v>
      </c>
      <c r="H818" s="11">
        <v>5</v>
      </c>
      <c r="I818" s="11">
        <f>SalesData[[#This Row],[Price]]*SalesData[[#This Row],[Quantity]]</f>
        <v>241.85</v>
      </c>
      <c r="J818" s="11" t="str">
        <f t="shared" si="12"/>
        <v>Low</v>
      </c>
      <c r="K818" s="21" t="s">
        <v>292</v>
      </c>
    </row>
    <row r="819" spans="1:11">
      <c r="A819" s="10">
        <v>43771</v>
      </c>
      <c r="B819" s="11" t="s">
        <v>9</v>
      </c>
      <c r="C819" s="11">
        <v>12700928</v>
      </c>
      <c r="D819" s="11" t="s">
        <v>235</v>
      </c>
      <c r="E819" s="11" t="s">
        <v>63</v>
      </c>
      <c r="F819" s="11">
        <v>48.34</v>
      </c>
      <c r="G819" s="11">
        <v>516078570</v>
      </c>
      <c r="H819" s="11">
        <v>3</v>
      </c>
      <c r="I819" s="11">
        <f>SalesData[[#This Row],[Price]]*SalesData[[#This Row],[Quantity]]</f>
        <v>145.02000000000001</v>
      </c>
      <c r="J819" s="11" t="str">
        <f t="shared" si="12"/>
        <v>Low</v>
      </c>
      <c r="K819" s="21" t="s">
        <v>235</v>
      </c>
    </row>
    <row r="820" spans="1:11">
      <c r="A820" s="10">
        <v>43773</v>
      </c>
      <c r="B820" s="11" t="s">
        <v>9</v>
      </c>
      <c r="C820" s="11">
        <v>48200463</v>
      </c>
      <c r="D820" s="11" t="s">
        <v>186</v>
      </c>
      <c r="E820" s="11" t="s">
        <v>187</v>
      </c>
      <c r="F820" s="11">
        <v>47.62</v>
      </c>
      <c r="G820" s="11">
        <v>530327518</v>
      </c>
      <c r="H820" s="11">
        <v>3</v>
      </c>
      <c r="I820" s="11">
        <f>SalesData[[#This Row],[Price]]*SalesData[[#This Row],[Quantity]]</f>
        <v>142.85999999999999</v>
      </c>
      <c r="J820" s="11" t="str">
        <f t="shared" si="12"/>
        <v>Low</v>
      </c>
      <c r="K820" s="21" t="s">
        <v>297</v>
      </c>
    </row>
    <row r="821" spans="1:11">
      <c r="A821" s="10">
        <v>43774</v>
      </c>
      <c r="B821" s="11" t="s">
        <v>9</v>
      </c>
      <c r="C821" s="11">
        <v>12718925</v>
      </c>
      <c r="D821" s="11" t="s">
        <v>235</v>
      </c>
      <c r="E821" s="11" t="s">
        <v>36</v>
      </c>
      <c r="F821" s="11">
        <v>47.36</v>
      </c>
      <c r="G821" s="11">
        <v>518466994</v>
      </c>
      <c r="H821" s="11">
        <v>4</v>
      </c>
      <c r="I821" s="11">
        <f>SalesData[[#This Row],[Price]]*SalesData[[#This Row],[Quantity]]</f>
        <v>189.44</v>
      </c>
      <c r="J821" s="11" t="str">
        <f t="shared" si="12"/>
        <v>Low</v>
      </c>
      <c r="K821" s="21" t="s">
        <v>235</v>
      </c>
    </row>
    <row r="822" spans="1:11">
      <c r="A822" s="10">
        <v>43780</v>
      </c>
      <c r="B822" s="11" t="s">
        <v>9</v>
      </c>
      <c r="C822" s="11">
        <v>9002787</v>
      </c>
      <c r="D822" s="11" t="s">
        <v>163</v>
      </c>
      <c r="E822" s="11" t="s">
        <v>164</v>
      </c>
      <c r="F822" s="11">
        <v>46.33</v>
      </c>
      <c r="G822" s="11">
        <v>547356072</v>
      </c>
      <c r="H822" s="11">
        <v>3</v>
      </c>
      <c r="I822" s="11">
        <f>SalesData[[#This Row],[Price]]*SalesData[[#This Row],[Quantity]]</f>
        <v>138.99</v>
      </c>
      <c r="J822" s="11" t="str">
        <f t="shared" si="12"/>
        <v>Low</v>
      </c>
      <c r="K822" s="21" t="s">
        <v>298</v>
      </c>
    </row>
    <row r="823" spans="1:11">
      <c r="A823" s="10">
        <v>43779</v>
      </c>
      <c r="B823" s="11" t="s">
        <v>9</v>
      </c>
      <c r="C823" s="11">
        <v>6301411</v>
      </c>
      <c r="D823" s="11" t="s">
        <v>120</v>
      </c>
      <c r="E823" s="11" t="s">
        <v>121</v>
      </c>
      <c r="F823" s="11">
        <v>46.31</v>
      </c>
      <c r="G823" s="11">
        <v>534920558</v>
      </c>
      <c r="H823" s="11">
        <v>1</v>
      </c>
      <c r="I823" s="11">
        <f>SalesData[[#This Row],[Price]]*SalesData[[#This Row],[Quantity]]</f>
        <v>46.31</v>
      </c>
      <c r="J823" s="11" t="str">
        <f t="shared" si="12"/>
        <v>Low</v>
      </c>
      <c r="K823" s="21" t="s">
        <v>292</v>
      </c>
    </row>
    <row r="824" spans="1:11">
      <c r="A824" s="10">
        <v>43774</v>
      </c>
      <c r="B824" s="11" t="s">
        <v>9</v>
      </c>
      <c r="C824" s="11">
        <v>4300375</v>
      </c>
      <c r="D824" s="11" t="s">
        <v>235</v>
      </c>
      <c r="E824" s="11" t="s">
        <v>153</v>
      </c>
      <c r="F824" s="11">
        <v>46.31</v>
      </c>
      <c r="G824" s="11">
        <v>512500813</v>
      </c>
      <c r="H824" s="11">
        <v>4</v>
      </c>
      <c r="I824" s="11">
        <f>SalesData[[#This Row],[Price]]*SalesData[[#This Row],[Quantity]]</f>
        <v>185.24</v>
      </c>
      <c r="J824" s="11" t="str">
        <f t="shared" si="12"/>
        <v>Low</v>
      </c>
      <c r="K824" s="21" t="s">
        <v>235</v>
      </c>
    </row>
    <row r="825" spans="1:11">
      <c r="A825" s="10">
        <v>43780</v>
      </c>
      <c r="B825" s="11" t="s">
        <v>9</v>
      </c>
      <c r="C825" s="11">
        <v>5100834</v>
      </c>
      <c r="D825" s="11" t="s">
        <v>235</v>
      </c>
      <c r="E825" s="11" t="s">
        <v>12</v>
      </c>
      <c r="F825" s="11">
        <v>45.84</v>
      </c>
      <c r="G825" s="11">
        <v>512670642</v>
      </c>
      <c r="H825" s="11">
        <v>1</v>
      </c>
      <c r="I825" s="11">
        <f>SalesData[[#This Row],[Price]]*SalesData[[#This Row],[Quantity]]</f>
        <v>45.84</v>
      </c>
      <c r="J825" s="11" t="str">
        <f t="shared" si="12"/>
        <v>Low</v>
      </c>
      <c r="K825" s="21" t="s">
        <v>235</v>
      </c>
    </row>
    <row r="826" spans="1:11">
      <c r="A826" s="10">
        <v>43777</v>
      </c>
      <c r="B826" s="11" t="s">
        <v>9</v>
      </c>
      <c r="C826" s="11">
        <v>12709178</v>
      </c>
      <c r="D826" s="11" t="s">
        <v>235</v>
      </c>
      <c r="E826" s="11" t="s">
        <v>36</v>
      </c>
      <c r="F826" s="11">
        <v>45.82</v>
      </c>
      <c r="G826" s="11">
        <v>518771094</v>
      </c>
      <c r="H826" s="11">
        <v>1</v>
      </c>
      <c r="I826" s="11">
        <f>SalesData[[#This Row],[Price]]*SalesData[[#This Row],[Quantity]]</f>
        <v>45.82</v>
      </c>
      <c r="J826" s="11" t="str">
        <f t="shared" si="12"/>
        <v>Low</v>
      </c>
      <c r="K826" s="21" t="s">
        <v>235</v>
      </c>
    </row>
    <row r="827" spans="1:11">
      <c r="A827" s="10">
        <v>43775</v>
      </c>
      <c r="B827" s="11" t="s">
        <v>9</v>
      </c>
      <c r="C827" s="11">
        <v>12706655</v>
      </c>
      <c r="D827" s="11" t="s">
        <v>235</v>
      </c>
      <c r="E827" s="11" t="s">
        <v>63</v>
      </c>
      <c r="F827" s="11">
        <v>45.82</v>
      </c>
      <c r="G827" s="11">
        <v>516078570</v>
      </c>
      <c r="H827" s="11">
        <v>4</v>
      </c>
      <c r="I827" s="11">
        <f>SalesData[[#This Row],[Price]]*SalesData[[#This Row],[Quantity]]</f>
        <v>183.28</v>
      </c>
      <c r="J827" s="11" t="str">
        <f t="shared" si="12"/>
        <v>Low</v>
      </c>
      <c r="K827" s="21" t="s">
        <v>235</v>
      </c>
    </row>
    <row r="828" spans="1:11">
      <c r="A828" s="10">
        <v>43777</v>
      </c>
      <c r="B828" s="11" t="s">
        <v>9</v>
      </c>
      <c r="C828" s="11">
        <v>12709178</v>
      </c>
      <c r="D828" s="11" t="s">
        <v>235</v>
      </c>
      <c r="E828" s="11" t="s">
        <v>36</v>
      </c>
      <c r="F828" s="11">
        <v>45.82</v>
      </c>
      <c r="G828" s="11">
        <v>518085015</v>
      </c>
      <c r="H828" s="11">
        <v>4</v>
      </c>
      <c r="I828" s="11">
        <f>SalesData[[#This Row],[Price]]*SalesData[[#This Row],[Quantity]]</f>
        <v>183.28</v>
      </c>
      <c r="J828" s="11" t="str">
        <f t="shared" si="12"/>
        <v>Low</v>
      </c>
      <c r="K828" s="21" t="s">
        <v>235</v>
      </c>
    </row>
    <row r="829" spans="1:11">
      <c r="A829" s="10">
        <v>43775</v>
      </c>
      <c r="B829" s="11" t="s">
        <v>9</v>
      </c>
      <c r="C829" s="11">
        <v>12704667</v>
      </c>
      <c r="D829" s="11" t="s">
        <v>235</v>
      </c>
      <c r="E829" s="11" t="s">
        <v>63</v>
      </c>
      <c r="F829" s="11">
        <v>45.52</v>
      </c>
      <c r="G829" s="11">
        <v>512474890</v>
      </c>
      <c r="H829" s="11">
        <v>1</v>
      </c>
      <c r="I829" s="11">
        <f>SalesData[[#This Row],[Price]]*SalesData[[#This Row],[Quantity]]</f>
        <v>45.52</v>
      </c>
      <c r="J829" s="11" t="str">
        <f t="shared" si="12"/>
        <v>Low</v>
      </c>
      <c r="K829" s="21" t="s">
        <v>235</v>
      </c>
    </row>
    <row r="830" spans="1:11">
      <c r="A830" s="10">
        <v>43777</v>
      </c>
      <c r="B830" s="11" t="s">
        <v>9</v>
      </c>
      <c r="C830" s="11">
        <v>28300748</v>
      </c>
      <c r="D830" s="11" t="s">
        <v>137</v>
      </c>
      <c r="E830" s="11" t="s">
        <v>132</v>
      </c>
      <c r="F830" s="11">
        <v>45.05</v>
      </c>
      <c r="G830" s="11">
        <v>528375191</v>
      </c>
      <c r="H830" s="11">
        <v>3</v>
      </c>
      <c r="I830" s="11">
        <f>SalesData[[#This Row],[Price]]*SalesData[[#This Row],[Quantity]]</f>
        <v>135.14999999999998</v>
      </c>
      <c r="J830" s="11" t="str">
        <f t="shared" si="12"/>
        <v>Low</v>
      </c>
      <c r="K830" s="21" t="s">
        <v>296</v>
      </c>
    </row>
    <row r="831" spans="1:11">
      <c r="A831" s="10">
        <v>43776</v>
      </c>
      <c r="B831" s="11" t="s">
        <v>9</v>
      </c>
      <c r="C831" s="11">
        <v>12711366</v>
      </c>
      <c r="D831" s="11" t="s">
        <v>235</v>
      </c>
      <c r="E831" s="11" t="s">
        <v>172</v>
      </c>
      <c r="F831" s="11">
        <v>45.05</v>
      </c>
      <c r="G831" s="11">
        <v>562354455</v>
      </c>
      <c r="H831" s="11">
        <v>3</v>
      </c>
      <c r="I831" s="11">
        <f>SalesData[[#This Row],[Price]]*SalesData[[#This Row],[Quantity]]</f>
        <v>135.14999999999998</v>
      </c>
      <c r="J831" s="11" t="str">
        <f t="shared" si="12"/>
        <v>Low</v>
      </c>
      <c r="K831" s="21" t="s">
        <v>235</v>
      </c>
    </row>
    <row r="832" spans="1:11">
      <c r="A832" s="10">
        <v>43783</v>
      </c>
      <c r="B832" s="11" t="s">
        <v>9</v>
      </c>
      <c r="C832" s="11">
        <v>29100044</v>
      </c>
      <c r="D832" s="11" t="s">
        <v>148</v>
      </c>
      <c r="E832" s="11" t="s">
        <v>149</v>
      </c>
      <c r="F832" s="11">
        <v>43.98</v>
      </c>
      <c r="G832" s="11">
        <v>558345718</v>
      </c>
      <c r="H832" s="11">
        <v>5</v>
      </c>
      <c r="I832" s="11">
        <f>SalesData[[#This Row],[Price]]*SalesData[[#This Row],[Quantity]]</f>
        <v>219.89999999999998</v>
      </c>
      <c r="J832" s="11" t="str">
        <f t="shared" si="12"/>
        <v>Low</v>
      </c>
      <c r="K832" s="21" t="s">
        <v>292</v>
      </c>
    </row>
    <row r="833" spans="1:11">
      <c r="A833" s="10">
        <v>43779</v>
      </c>
      <c r="B833" s="11" t="s">
        <v>9</v>
      </c>
      <c r="C833" s="11">
        <v>27900040</v>
      </c>
      <c r="D833" s="11" t="s">
        <v>235</v>
      </c>
      <c r="E833" s="11" t="s">
        <v>235</v>
      </c>
      <c r="F833" s="11">
        <v>43.76</v>
      </c>
      <c r="G833" s="11">
        <v>565873042</v>
      </c>
      <c r="H833" s="11">
        <v>5</v>
      </c>
      <c r="I833" s="11">
        <f>SalesData[[#This Row],[Price]]*SalesData[[#This Row],[Quantity]]</f>
        <v>218.79999999999998</v>
      </c>
      <c r="J833" s="11" t="str">
        <f t="shared" si="12"/>
        <v>Low</v>
      </c>
      <c r="K833" s="21" t="s">
        <v>235</v>
      </c>
    </row>
    <row r="834" spans="1:11">
      <c r="A834" s="10">
        <v>43772</v>
      </c>
      <c r="B834" s="11" t="s">
        <v>9</v>
      </c>
      <c r="C834" s="11">
        <v>4802233</v>
      </c>
      <c r="D834" s="11" t="s">
        <v>33</v>
      </c>
      <c r="E834" s="11" t="s">
        <v>39</v>
      </c>
      <c r="F834" s="11">
        <v>43.73</v>
      </c>
      <c r="G834" s="11">
        <v>545948530</v>
      </c>
      <c r="H834" s="11">
        <v>1</v>
      </c>
      <c r="I834" s="11">
        <f>SalesData[[#This Row],[Price]]*SalesData[[#This Row],[Quantity]]</f>
        <v>43.73</v>
      </c>
      <c r="J834" s="11" t="str">
        <f t="shared" ref="J834:J897" si="13">IF(F834&lt;500, "Low", IF(F834&lt;1500, "Medium", "High"))</f>
        <v>Low</v>
      </c>
      <c r="K834" s="21" t="s">
        <v>290</v>
      </c>
    </row>
    <row r="835" spans="1:11">
      <c r="A835" s="10">
        <v>43779</v>
      </c>
      <c r="B835" s="11" t="s">
        <v>9</v>
      </c>
      <c r="C835" s="11">
        <v>2500859</v>
      </c>
      <c r="D835" s="11" t="s">
        <v>72</v>
      </c>
      <c r="E835" s="11" t="s">
        <v>73</v>
      </c>
      <c r="F835" s="11">
        <v>43.73</v>
      </c>
      <c r="G835" s="11">
        <v>556735076</v>
      </c>
      <c r="H835" s="11">
        <v>1</v>
      </c>
      <c r="I835" s="11">
        <f>SalesData[[#This Row],[Price]]*SalesData[[#This Row],[Quantity]]</f>
        <v>43.73</v>
      </c>
      <c r="J835" s="11" t="str">
        <f t="shared" si="13"/>
        <v>Low</v>
      </c>
      <c r="K835" s="21" t="s">
        <v>292</v>
      </c>
    </row>
    <row r="836" spans="1:11">
      <c r="A836" s="10">
        <v>43771</v>
      </c>
      <c r="B836" s="11" t="s">
        <v>9</v>
      </c>
      <c r="C836" s="11">
        <v>4300072</v>
      </c>
      <c r="D836" s="11" t="s">
        <v>235</v>
      </c>
      <c r="E836" s="11" t="s">
        <v>112</v>
      </c>
      <c r="F836" s="11">
        <v>43.73</v>
      </c>
      <c r="G836" s="11">
        <v>522957619</v>
      </c>
      <c r="H836" s="11">
        <v>3</v>
      </c>
      <c r="I836" s="11">
        <f>SalesData[[#This Row],[Price]]*SalesData[[#This Row],[Quantity]]</f>
        <v>131.19</v>
      </c>
      <c r="J836" s="11" t="str">
        <f t="shared" si="13"/>
        <v>Low</v>
      </c>
      <c r="K836" s="21" t="s">
        <v>235</v>
      </c>
    </row>
    <row r="837" spans="1:11">
      <c r="A837" s="10">
        <v>43779</v>
      </c>
      <c r="B837" s="11" t="s">
        <v>9</v>
      </c>
      <c r="C837" s="11">
        <v>12711108</v>
      </c>
      <c r="D837" s="11" t="s">
        <v>235</v>
      </c>
      <c r="E837" s="11" t="s">
        <v>52</v>
      </c>
      <c r="F837" s="11">
        <v>43.5</v>
      </c>
      <c r="G837" s="11">
        <v>515342397</v>
      </c>
      <c r="H837" s="11">
        <v>5</v>
      </c>
      <c r="I837" s="11">
        <f>SalesData[[#This Row],[Price]]*SalesData[[#This Row],[Quantity]]</f>
        <v>217.5</v>
      </c>
      <c r="J837" s="11" t="str">
        <f t="shared" si="13"/>
        <v>Low</v>
      </c>
      <c r="K837" s="21" t="s">
        <v>235</v>
      </c>
    </row>
    <row r="838" spans="1:11">
      <c r="A838" s="10">
        <v>43778</v>
      </c>
      <c r="B838" s="11" t="s">
        <v>9</v>
      </c>
      <c r="C838" s="11">
        <v>3700926</v>
      </c>
      <c r="D838" s="11" t="s">
        <v>57</v>
      </c>
      <c r="E838" s="11" t="s">
        <v>13</v>
      </c>
      <c r="F838" s="11">
        <v>64.02</v>
      </c>
      <c r="G838" s="11">
        <v>536894980</v>
      </c>
      <c r="H838" s="11">
        <v>1</v>
      </c>
      <c r="I838" s="11">
        <f>SalesData[[#This Row],[Price]]*SalesData[[#This Row],[Quantity]]</f>
        <v>64.02</v>
      </c>
      <c r="J838" s="11" t="str">
        <f t="shared" si="13"/>
        <v>Low</v>
      </c>
      <c r="K838" s="21" t="s">
        <v>292</v>
      </c>
    </row>
    <row r="839" spans="1:11">
      <c r="A839" s="10">
        <v>43772</v>
      </c>
      <c r="B839" s="11" t="s">
        <v>9</v>
      </c>
      <c r="C839" s="11">
        <v>34800435</v>
      </c>
      <c r="D839" s="11" t="s">
        <v>235</v>
      </c>
      <c r="E839" s="11" t="s">
        <v>27</v>
      </c>
      <c r="F839" s="11">
        <v>43.24</v>
      </c>
      <c r="G839" s="11">
        <v>564014296</v>
      </c>
      <c r="H839" s="11">
        <v>5</v>
      </c>
      <c r="I839" s="11">
        <f>SalesData[[#This Row],[Price]]*SalesData[[#This Row],[Quantity]]</f>
        <v>216.20000000000002</v>
      </c>
      <c r="J839" s="11" t="str">
        <f t="shared" si="13"/>
        <v>Low</v>
      </c>
      <c r="K839" s="21" t="s">
        <v>235</v>
      </c>
    </row>
    <row r="840" spans="1:11">
      <c r="A840" s="10">
        <v>43775</v>
      </c>
      <c r="B840" s="11" t="s">
        <v>9</v>
      </c>
      <c r="C840" s="11">
        <v>12703015</v>
      </c>
      <c r="D840" s="11" t="s">
        <v>235</v>
      </c>
      <c r="E840" s="11" t="s">
        <v>52</v>
      </c>
      <c r="F840" s="11">
        <v>42.99</v>
      </c>
      <c r="G840" s="11">
        <v>531848065</v>
      </c>
      <c r="H840" s="11">
        <v>2</v>
      </c>
      <c r="I840" s="11">
        <f>SalesData[[#This Row],[Price]]*SalesData[[#This Row],[Quantity]]</f>
        <v>85.98</v>
      </c>
      <c r="J840" s="11" t="str">
        <f t="shared" si="13"/>
        <v>Low</v>
      </c>
      <c r="K840" s="21" t="s">
        <v>235</v>
      </c>
    </row>
    <row r="841" spans="1:11">
      <c r="A841" s="10">
        <v>43772</v>
      </c>
      <c r="B841" s="11" t="s">
        <v>9</v>
      </c>
      <c r="C841" s="11">
        <v>12703015</v>
      </c>
      <c r="D841" s="11" t="s">
        <v>235</v>
      </c>
      <c r="E841" s="11" t="s">
        <v>52</v>
      </c>
      <c r="F841" s="11">
        <v>42.99</v>
      </c>
      <c r="G841" s="11">
        <v>561062956</v>
      </c>
      <c r="H841" s="11">
        <v>3</v>
      </c>
      <c r="I841" s="11">
        <f>SalesData[[#This Row],[Price]]*SalesData[[#This Row],[Quantity]]</f>
        <v>128.97</v>
      </c>
      <c r="J841" s="11" t="str">
        <f t="shared" si="13"/>
        <v>Low</v>
      </c>
      <c r="K841" s="21" t="s">
        <v>235</v>
      </c>
    </row>
    <row r="842" spans="1:11">
      <c r="A842" s="10">
        <v>43772</v>
      </c>
      <c r="B842" s="11" t="s">
        <v>9</v>
      </c>
      <c r="C842" s="11">
        <v>12703015</v>
      </c>
      <c r="D842" s="11" t="s">
        <v>235</v>
      </c>
      <c r="E842" s="11" t="s">
        <v>52</v>
      </c>
      <c r="F842" s="11">
        <v>42.99</v>
      </c>
      <c r="G842" s="11">
        <v>521081045</v>
      </c>
      <c r="H842" s="11">
        <v>3</v>
      </c>
      <c r="I842" s="11">
        <f>SalesData[[#This Row],[Price]]*SalesData[[#This Row],[Quantity]]</f>
        <v>128.97</v>
      </c>
      <c r="J842" s="11" t="str">
        <f t="shared" si="13"/>
        <v>Low</v>
      </c>
      <c r="K842" s="21" t="s">
        <v>235</v>
      </c>
    </row>
    <row r="843" spans="1:11">
      <c r="A843" s="10">
        <v>43783</v>
      </c>
      <c r="B843" s="11" t="s">
        <v>9</v>
      </c>
      <c r="C843" s="11">
        <v>12718506</v>
      </c>
      <c r="D843" s="11" t="s">
        <v>235</v>
      </c>
      <c r="E843" s="11" t="s">
        <v>36</v>
      </c>
      <c r="F843" s="11">
        <v>42.47</v>
      </c>
      <c r="G843" s="11">
        <v>515147590</v>
      </c>
      <c r="H843" s="11">
        <v>3</v>
      </c>
      <c r="I843" s="11">
        <f>SalesData[[#This Row],[Price]]*SalesData[[#This Row],[Quantity]]</f>
        <v>127.41</v>
      </c>
      <c r="J843" s="11" t="str">
        <f t="shared" si="13"/>
        <v>Low</v>
      </c>
      <c r="K843" s="21" t="s">
        <v>235</v>
      </c>
    </row>
    <row r="844" spans="1:11">
      <c r="A844" s="10">
        <v>43777</v>
      </c>
      <c r="B844" s="11" t="s">
        <v>9</v>
      </c>
      <c r="C844" s="11">
        <v>12700579</v>
      </c>
      <c r="D844" s="11" t="s">
        <v>235</v>
      </c>
      <c r="E844" s="11" t="s">
        <v>217</v>
      </c>
      <c r="F844" s="11">
        <v>42.47</v>
      </c>
      <c r="G844" s="11">
        <v>551777177</v>
      </c>
      <c r="H844" s="11">
        <v>4</v>
      </c>
      <c r="I844" s="11">
        <f>SalesData[[#This Row],[Price]]*SalesData[[#This Row],[Quantity]]</f>
        <v>169.88</v>
      </c>
      <c r="J844" s="11" t="str">
        <f t="shared" si="13"/>
        <v>Low</v>
      </c>
      <c r="K844" s="21" t="s">
        <v>235</v>
      </c>
    </row>
    <row r="845" spans="1:11">
      <c r="A845" s="10">
        <v>43774</v>
      </c>
      <c r="B845" s="11" t="s">
        <v>9</v>
      </c>
      <c r="C845" s="11">
        <v>12700579</v>
      </c>
      <c r="D845" s="11" t="s">
        <v>235</v>
      </c>
      <c r="E845" s="11" t="s">
        <v>217</v>
      </c>
      <c r="F845" s="11">
        <v>42.47</v>
      </c>
      <c r="G845" s="11">
        <v>551777177</v>
      </c>
      <c r="H845" s="11">
        <v>2</v>
      </c>
      <c r="I845" s="11">
        <f>SalesData[[#This Row],[Price]]*SalesData[[#This Row],[Quantity]]</f>
        <v>84.94</v>
      </c>
      <c r="J845" s="11" t="str">
        <f t="shared" si="13"/>
        <v>Low</v>
      </c>
      <c r="K845" s="21" t="s">
        <v>235</v>
      </c>
    </row>
    <row r="846" spans="1:11">
      <c r="A846" s="10">
        <v>43773</v>
      </c>
      <c r="B846" s="11" t="s">
        <v>9</v>
      </c>
      <c r="C846" s="11">
        <v>12718506</v>
      </c>
      <c r="D846" s="11" t="s">
        <v>235</v>
      </c>
      <c r="E846" s="11" t="s">
        <v>36</v>
      </c>
      <c r="F846" s="11">
        <v>42.47</v>
      </c>
      <c r="G846" s="11">
        <v>517836429</v>
      </c>
      <c r="H846" s="11">
        <v>4</v>
      </c>
      <c r="I846" s="11">
        <f>SalesData[[#This Row],[Price]]*SalesData[[#This Row],[Quantity]]</f>
        <v>169.88</v>
      </c>
      <c r="J846" s="11" t="str">
        <f t="shared" si="13"/>
        <v>Low</v>
      </c>
      <c r="K846" s="21" t="s">
        <v>235</v>
      </c>
    </row>
    <row r="847" spans="1:11">
      <c r="A847" s="10">
        <v>43778</v>
      </c>
      <c r="B847" s="11" t="s">
        <v>9</v>
      </c>
      <c r="C847" s="11">
        <v>12701231</v>
      </c>
      <c r="D847" s="11" t="s">
        <v>235</v>
      </c>
      <c r="E847" s="11" t="s">
        <v>219</v>
      </c>
      <c r="F847" s="11">
        <v>41.96</v>
      </c>
      <c r="G847" s="11">
        <v>514932970</v>
      </c>
      <c r="H847" s="11">
        <v>1</v>
      </c>
      <c r="I847" s="11">
        <f>SalesData[[#This Row],[Price]]*SalesData[[#This Row],[Quantity]]</f>
        <v>41.96</v>
      </c>
      <c r="J847" s="11" t="str">
        <f t="shared" si="13"/>
        <v>Low</v>
      </c>
      <c r="K847" s="21" t="s">
        <v>235</v>
      </c>
    </row>
    <row r="848" spans="1:11">
      <c r="A848" s="10">
        <v>43772</v>
      </c>
      <c r="B848" s="11" t="s">
        <v>9</v>
      </c>
      <c r="C848" s="11">
        <v>12704405</v>
      </c>
      <c r="D848" s="11" t="s">
        <v>235</v>
      </c>
      <c r="E848" s="11" t="s">
        <v>201</v>
      </c>
      <c r="F848" s="11">
        <v>41.44</v>
      </c>
      <c r="G848" s="11">
        <v>518677182</v>
      </c>
      <c r="H848" s="11">
        <v>4</v>
      </c>
      <c r="I848" s="11">
        <f>SalesData[[#This Row],[Price]]*SalesData[[#This Row],[Quantity]]</f>
        <v>165.76</v>
      </c>
      <c r="J848" s="11" t="str">
        <f t="shared" si="13"/>
        <v>Low</v>
      </c>
      <c r="K848" s="21" t="s">
        <v>235</v>
      </c>
    </row>
    <row r="849" spans="1:11">
      <c r="A849" s="10">
        <v>43779</v>
      </c>
      <c r="B849" s="11" t="s">
        <v>9</v>
      </c>
      <c r="C849" s="11">
        <v>12703494</v>
      </c>
      <c r="D849" s="11" t="s">
        <v>235</v>
      </c>
      <c r="E849" s="11" t="s">
        <v>52</v>
      </c>
      <c r="F849" s="11">
        <v>41.19</v>
      </c>
      <c r="G849" s="11">
        <v>563163362</v>
      </c>
      <c r="H849" s="11">
        <v>4</v>
      </c>
      <c r="I849" s="11">
        <f>SalesData[[#This Row],[Price]]*SalesData[[#This Row],[Quantity]]</f>
        <v>164.76</v>
      </c>
      <c r="J849" s="11" t="str">
        <f t="shared" si="13"/>
        <v>Low</v>
      </c>
      <c r="K849" s="21" t="s">
        <v>235</v>
      </c>
    </row>
    <row r="850" spans="1:11">
      <c r="A850" s="10">
        <v>43781</v>
      </c>
      <c r="B850" s="11" t="s">
        <v>9</v>
      </c>
      <c r="C850" s="11">
        <v>12703494</v>
      </c>
      <c r="D850" s="11" t="s">
        <v>235</v>
      </c>
      <c r="E850" s="11" t="s">
        <v>52</v>
      </c>
      <c r="F850" s="11">
        <v>41.19</v>
      </c>
      <c r="G850" s="11">
        <v>516658643</v>
      </c>
      <c r="H850" s="11">
        <v>3</v>
      </c>
      <c r="I850" s="11">
        <f>SalesData[[#This Row],[Price]]*SalesData[[#This Row],[Quantity]]</f>
        <v>123.57</v>
      </c>
      <c r="J850" s="11" t="str">
        <f t="shared" si="13"/>
        <v>Low</v>
      </c>
      <c r="K850" s="21" t="s">
        <v>235</v>
      </c>
    </row>
    <row r="851" spans="1:11">
      <c r="A851" s="10">
        <v>43775</v>
      </c>
      <c r="B851" s="11" t="s">
        <v>9</v>
      </c>
      <c r="C851" s="11">
        <v>12704545</v>
      </c>
      <c r="D851" s="11" t="s">
        <v>235</v>
      </c>
      <c r="E851" s="11" t="s">
        <v>176</v>
      </c>
      <c r="F851" s="11">
        <v>41.19</v>
      </c>
      <c r="G851" s="11">
        <v>521743410</v>
      </c>
      <c r="H851" s="11">
        <v>5</v>
      </c>
      <c r="I851" s="11">
        <f>SalesData[[#This Row],[Price]]*SalesData[[#This Row],[Quantity]]</f>
        <v>205.95</v>
      </c>
      <c r="J851" s="11" t="str">
        <f t="shared" si="13"/>
        <v>Low</v>
      </c>
      <c r="K851" s="21" t="s">
        <v>235</v>
      </c>
    </row>
    <row r="852" spans="1:11">
      <c r="A852" s="10">
        <v>43778</v>
      </c>
      <c r="B852" s="11" t="s">
        <v>9</v>
      </c>
      <c r="C852" s="11">
        <v>15200784</v>
      </c>
      <c r="D852" s="11" t="s">
        <v>235</v>
      </c>
      <c r="E852" s="11" t="s">
        <v>193</v>
      </c>
      <c r="F852" s="11">
        <v>41.18</v>
      </c>
      <c r="G852" s="11">
        <v>543789100</v>
      </c>
      <c r="H852" s="11">
        <v>1</v>
      </c>
      <c r="I852" s="11">
        <f>SalesData[[#This Row],[Price]]*SalesData[[#This Row],[Quantity]]</f>
        <v>41.18</v>
      </c>
      <c r="J852" s="11" t="str">
        <f t="shared" si="13"/>
        <v>Low</v>
      </c>
      <c r="K852" s="21" t="s">
        <v>235</v>
      </c>
    </row>
    <row r="853" spans="1:11">
      <c r="A853" s="10">
        <v>43771</v>
      </c>
      <c r="B853" s="11" t="s">
        <v>9</v>
      </c>
      <c r="C853" s="11">
        <v>8700331</v>
      </c>
      <c r="D853" s="11" t="s">
        <v>224</v>
      </c>
      <c r="E853" s="11" t="s">
        <v>85</v>
      </c>
      <c r="F853" s="11">
        <v>41.16</v>
      </c>
      <c r="G853" s="11">
        <v>553778707</v>
      </c>
      <c r="H853" s="11">
        <v>2</v>
      </c>
      <c r="I853" s="11">
        <f>SalesData[[#This Row],[Price]]*SalesData[[#This Row],[Quantity]]</f>
        <v>82.32</v>
      </c>
      <c r="J853" s="11" t="str">
        <f t="shared" si="13"/>
        <v>Low</v>
      </c>
      <c r="K853" s="21" t="s">
        <v>292</v>
      </c>
    </row>
    <row r="854" spans="1:11">
      <c r="A854" s="10">
        <v>43773</v>
      </c>
      <c r="B854" s="11" t="s">
        <v>9</v>
      </c>
      <c r="C854" s="11">
        <v>16100699</v>
      </c>
      <c r="D854" s="11" t="s">
        <v>235</v>
      </c>
      <c r="E854" s="11" t="s">
        <v>192</v>
      </c>
      <c r="F854" s="11">
        <v>41.11</v>
      </c>
      <c r="G854" s="11">
        <v>516024726</v>
      </c>
      <c r="H854" s="11">
        <v>2</v>
      </c>
      <c r="I854" s="11">
        <f>SalesData[[#This Row],[Price]]*SalesData[[#This Row],[Quantity]]</f>
        <v>82.22</v>
      </c>
      <c r="J854" s="11" t="str">
        <f t="shared" si="13"/>
        <v>Low</v>
      </c>
      <c r="K854" s="21" t="s">
        <v>235</v>
      </c>
    </row>
    <row r="855" spans="1:11">
      <c r="A855" s="10">
        <v>43777</v>
      </c>
      <c r="B855" s="11" t="s">
        <v>9</v>
      </c>
      <c r="C855" s="11">
        <v>12703498</v>
      </c>
      <c r="D855" s="11" t="s">
        <v>235</v>
      </c>
      <c r="E855" s="11" t="s">
        <v>52</v>
      </c>
      <c r="F855" s="11">
        <v>40.93</v>
      </c>
      <c r="G855" s="11">
        <v>529712266</v>
      </c>
      <c r="H855" s="11">
        <v>3</v>
      </c>
      <c r="I855" s="11">
        <f>SalesData[[#This Row],[Price]]*SalesData[[#This Row],[Quantity]]</f>
        <v>122.78999999999999</v>
      </c>
      <c r="J855" s="11" t="str">
        <f t="shared" si="13"/>
        <v>Low</v>
      </c>
      <c r="K855" s="21" t="s">
        <v>235</v>
      </c>
    </row>
    <row r="856" spans="1:11">
      <c r="A856" s="10">
        <v>43772</v>
      </c>
      <c r="B856" s="11" t="s">
        <v>9</v>
      </c>
      <c r="C856" s="11">
        <v>12703498</v>
      </c>
      <c r="D856" s="11" t="s">
        <v>235</v>
      </c>
      <c r="E856" s="11" t="s">
        <v>52</v>
      </c>
      <c r="F856" s="11">
        <v>40.93</v>
      </c>
      <c r="G856" s="11">
        <v>555970708</v>
      </c>
      <c r="H856" s="11">
        <v>4</v>
      </c>
      <c r="I856" s="11">
        <f>SalesData[[#This Row],[Price]]*SalesData[[#This Row],[Quantity]]</f>
        <v>163.72</v>
      </c>
      <c r="J856" s="11" t="str">
        <f t="shared" si="13"/>
        <v>Low</v>
      </c>
      <c r="K856" s="21" t="s">
        <v>235</v>
      </c>
    </row>
    <row r="857" spans="1:11">
      <c r="A857" s="10">
        <v>43783</v>
      </c>
      <c r="B857" s="11" t="s">
        <v>9</v>
      </c>
      <c r="C857" s="11">
        <v>12703498</v>
      </c>
      <c r="D857" s="11" t="s">
        <v>235</v>
      </c>
      <c r="E857" s="11" t="s">
        <v>52</v>
      </c>
      <c r="F857" s="11">
        <v>40.93</v>
      </c>
      <c r="G857" s="11">
        <v>555970708</v>
      </c>
      <c r="H857" s="11">
        <v>3</v>
      </c>
      <c r="I857" s="11">
        <f>SalesData[[#This Row],[Price]]*SalesData[[#This Row],[Quantity]]</f>
        <v>122.78999999999999</v>
      </c>
      <c r="J857" s="11" t="str">
        <f t="shared" si="13"/>
        <v>Low</v>
      </c>
      <c r="K857" s="21" t="s">
        <v>235</v>
      </c>
    </row>
    <row r="858" spans="1:11">
      <c r="A858" s="10">
        <v>43774</v>
      </c>
      <c r="B858" s="11" t="s">
        <v>9</v>
      </c>
      <c r="C858" s="11">
        <v>12703498</v>
      </c>
      <c r="D858" s="11" t="s">
        <v>235</v>
      </c>
      <c r="E858" s="11" t="s">
        <v>52</v>
      </c>
      <c r="F858" s="11">
        <v>40.93</v>
      </c>
      <c r="G858" s="11">
        <v>519251430</v>
      </c>
      <c r="H858" s="11">
        <v>2</v>
      </c>
      <c r="I858" s="11">
        <f>SalesData[[#This Row],[Price]]*SalesData[[#This Row],[Quantity]]</f>
        <v>81.86</v>
      </c>
      <c r="J858" s="11" t="str">
        <f t="shared" si="13"/>
        <v>Low</v>
      </c>
      <c r="K858" s="21" t="s">
        <v>235</v>
      </c>
    </row>
    <row r="859" spans="1:11">
      <c r="A859" s="10">
        <v>43780</v>
      </c>
      <c r="B859" s="11" t="s">
        <v>9</v>
      </c>
      <c r="C859" s="11">
        <v>2501796</v>
      </c>
      <c r="D859" s="11" t="s">
        <v>72</v>
      </c>
      <c r="E859" s="11" t="s">
        <v>91</v>
      </c>
      <c r="F859" s="11">
        <v>40.9</v>
      </c>
      <c r="G859" s="11">
        <v>559995152</v>
      </c>
      <c r="H859" s="11">
        <v>5</v>
      </c>
      <c r="I859" s="11">
        <f>SalesData[[#This Row],[Price]]*SalesData[[#This Row],[Quantity]]</f>
        <v>204.5</v>
      </c>
      <c r="J859" s="11" t="str">
        <f t="shared" si="13"/>
        <v>Low</v>
      </c>
      <c r="K859" s="21" t="s">
        <v>292</v>
      </c>
    </row>
    <row r="860" spans="1:11">
      <c r="A860" s="10">
        <v>43782</v>
      </c>
      <c r="B860" s="11" t="s">
        <v>9</v>
      </c>
      <c r="C860" s="11">
        <v>15200778</v>
      </c>
      <c r="D860" s="11" t="s">
        <v>235</v>
      </c>
      <c r="E860" s="11" t="s">
        <v>138</v>
      </c>
      <c r="F860" s="11">
        <v>40.159999999999997</v>
      </c>
      <c r="G860" s="11">
        <v>544628638</v>
      </c>
      <c r="H860" s="11">
        <v>5</v>
      </c>
      <c r="I860" s="11">
        <f>SalesData[[#This Row],[Price]]*SalesData[[#This Row],[Quantity]]</f>
        <v>200.79999999999998</v>
      </c>
      <c r="J860" s="11" t="str">
        <f t="shared" si="13"/>
        <v>Low</v>
      </c>
      <c r="K860" s="21" t="s">
        <v>235</v>
      </c>
    </row>
    <row r="861" spans="1:11">
      <c r="A861" s="10">
        <v>43770</v>
      </c>
      <c r="B861" s="11" t="s">
        <v>9</v>
      </c>
      <c r="C861" s="11">
        <v>17301319</v>
      </c>
      <c r="D861" s="11" t="s">
        <v>235</v>
      </c>
      <c r="E861" s="11" t="s">
        <v>42</v>
      </c>
      <c r="F861" s="11">
        <v>40.090000000000003</v>
      </c>
      <c r="G861" s="11">
        <v>561564372</v>
      </c>
      <c r="H861" s="11">
        <v>3</v>
      </c>
      <c r="I861" s="11">
        <f>SalesData[[#This Row],[Price]]*SalesData[[#This Row],[Quantity]]</f>
        <v>120.27000000000001</v>
      </c>
      <c r="J861" s="11" t="str">
        <f t="shared" si="13"/>
        <v>Low</v>
      </c>
      <c r="K861" s="21" t="s">
        <v>235</v>
      </c>
    </row>
    <row r="862" spans="1:11">
      <c r="A862" s="10">
        <v>43777</v>
      </c>
      <c r="B862" s="11" t="s">
        <v>9</v>
      </c>
      <c r="C862" s="11">
        <v>17301319</v>
      </c>
      <c r="D862" s="11" t="s">
        <v>235</v>
      </c>
      <c r="E862" s="11" t="s">
        <v>42</v>
      </c>
      <c r="F862" s="11">
        <v>40.090000000000003</v>
      </c>
      <c r="G862" s="11">
        <v>561564372</v>
      </c>
      <c r="H862" s="11">
        <v>3</v>
      </c>
      <c r="I862" s="11">
        <f>SalesData[[#This Row],[Price]]*SalesData[[#This Row],[Quantity]]</f>
        <v>120.27000000000001</v>
      </c>
      <c r="J862" s="11" t="str">
        <f t="shared" si="13"/>
        <v>Low</v>
      </c>
      <c r="K862" s="21" t="s">
        <v>235</v>
      </c>
    </row>
    <row r="863" spans="1:11">
      <c r="A863" s="10">
        <v>43782</v>
      </c>
      <c r="B863" s="11" t="s">
        <v>9</v>
      </c>
      <c r="C863" s="11">
        <v>17301319</v>
      </c>
      <c r="D863" s="11" t="s">
        <v>235</v>
      </c>
      <c r="E863" s="11" t="s">
        <v>42</v>
      </c>
      <c r="F863" s="11">
        <v>40.090000000000003</v>
      </c>
      <c r="G863" s="11">
        <v>561564372</v>
      </c>
      <c r="H863" s="11">
        <v>4</v>
      </c>
      <c r="I863" s="11">
        <f>SalesData[[#This Row],[Price]]*SalesData[[#This Row],[Quantity]]</f>
        <v>160.36000000000001</v>
      </c>
      <c r="J863" s="11" t="str">
        <f t="shared" si="13"/>
        <v>Low</v>
      </c>
      <c r="K863" s="21" t="s">
        <v>235</v>
      </c>
    </row>
    <row r="864" spans="1:11">
      <c r="A864" s="10">
        <v>43778</v>
      </c>
      <c r="B864" s="11" t="s">
        <v>9</v>
      </c>
      <c r="C864" s="11">
        <v>12711986</v>
      </c>
      <c r="D864" s="11" t="s">
        <v>235</v>
      </c>
      <c r="E864" s="11" t="s">
        <v>36</v>
      </c>
      <c r="F864" s="11">
        <v>39.9</v>
      </c>
      <c r="G864" s="11">
        <v>550473072</v>
      </c>
      <c r="H864" s="11">
        <v>4</v>
      </c>
      <c r="I864" s="11">
        <f>SalesData[[#This Row],[Price]]*SalesData[[#This Row],[Quantity]]</f>
        <v>159.6</v>
      </c>
      <c r="J864" s="11" t="str">
        <f t="shared" si="13"/>
        <v>Low</v>
      </c>
      <c r="K864" s="21" t="s">
        <v>235</v>
      </c>
    </row>
    <row r="865" spans="1:11">
      <c r="A865" s="10">
        <v>43783</v>
      </c>
      <c r="B865" s="11" t="s">
        <v>9</v>
      </c>
      <c r="C865" s="11">
        <v>12703014</v>
      </c>
      <c r="D865" s="11" t="s">
        <v>235</v>
      </c>
      <c r="E865" s="11" t="s">
        <v>52</v>
      </c>
      <c r="F865" s="11">
        <v>39.380000000000003</v>
      </c>
      <c r="G865" s="11">
        <v>561405398</v>
      </c>
      <c r="H865" s="11">
        <v>2</v>
      </c>
      <c r="I865" s="11">
        <f>SalesData[[#This Row],[Price]]*SalesData[[#This Row],[Quantity]]</f>
        <v>78.760000000000005</v>
      </c>
      <c r="J865" s="11" t="str">
        <f t="shared" si="13"/>
        <v>Low</v>
      </c>
      <c r="K865" s="21" t="s">
        <v>235</v>
      </c>
    </row>
    <row r="866" spans="1:11">
      <c r="A866" s="10">
        <v>43779</v>
      </c>
      <c r="B866" s="11" t="s">
        <v>9</v>
      </c>
      <c r="C866" s="11">
        <v>12703014</v>
      </c>
      <c r="D866" s="11" t="s">
        <v>235</v>
      </c>
      <c r="E866" s="11" t="s">
        <v>52</v>
      </c>
      <c r="F866" s="11">
        <v>39.380000000000003</v>
      </c>
      <c r="G866" s="11">
        <v>512691830</v>
      </c>
      <c r="H866" s="11">
        <v>3</v>
      </c>
      <c r="I866" s="11">
        <f>SalesData[[#This Row],[Price]]*SalesData[[#This Row],[Quantity]]</f>
        <v>118.14000000000001</v>
      </c>
      <c r="J866" s="11" t="str">
        <f t="shared" si="13"/>
        <v>Low</v>
      </c>
      <c r="K866" s="21" t="s">
        <v>235</v>
      </c>
    </row>
    <row r="867" spans="1:11">
      <c r="A867" s="10">
        <v>43771</v>
      </c>
      <c r="B867" s="11" t="s">
        <v>9</v>
      </c>
      <c r="C867" s="11">
        <v>12703014</v>
      </c>
      <c r="D867" s="11" t="s">
        <v>235</v>
      </c>
      <c r="E867" s="11" t="s">
        <v>52</v>
      </c>
      <c r="F867" s="11">
        <v>39.380000000000003</v>
      </c>
      <c r="G867" s="11">
        <v>516851046</v>
      </c>
      <c r="H867" s="11">
        <v>2</v>
      </c>
      <c r="I867" s="11">
        <f>SalesData[[#This Row],[Price]]*SalesData[[#This Row],[Quantity]]</f>
        <v>78.760000000000005</v>
      </c>
      <c r="J867" s="11" t="str">
        <f t="shared" si="13"/>
        <v>Low</v>
      </c>
      <c r="K867" s="21" t="s">
        <v>235</v>
      </c>
    </row>
    <row r="868" spans="1:11">
      <c r="A868" s="10">
        <v>43781</v>
      </c>
      <c r="B868" s="11" t="s">
        <v>9</v>
      </c>
      <c r="C868" s="11">
        <v>12703014</v>
      </c>
      <c r="D868" s="11" t="s">
        <v>235</v>
      </c>
      <c r="E868" s="11" t="s">
        <v>52</v>
      </c>
      <c r="F868" s="11">
        <v>39.380000000000003</v>
      </c>
      <c r="G868" s="11">
        <v>518489407</v>
      </c>
      <c r="H868" s="11">
        <v>3</v>
      </c>
      <c r="I868" s="11">
        <f>SalesData[[#This Row],[Price]]*SalesData[[#This Row],[Quantity]]</f>
        <v>118.14000000000001</v>
      </c>
      <c r="J868" s="11" t="str">
        <f t="shared" si="13"/>
        <v>Low</v>
      </c>
      <c r="K868" s="21" t="s">
        <v>235</v>
      </c>
    </row>
    <row r="869" spans="1:11">
      <c r="A869" s="10">
        <v>43780</v>
      </c>
      <c r="B869" s="11" t="s">
        <v>9</v>
      </c>
      <c r="C869" s="11">
        <v>12703014</v>
      </c>
      <c r="D869" s="11" t="s">
        <v>235</v>
      </c>
      <c r="E869" s="11" t="s">
        <v>52</v>
      </c>
      <c r="F869" s="11">
        <v>39.380000000000003</v>
      </c>
      <c r="G869" s="11">
        <v>513346245</v>
      </c>
      <c r="H869" s="11">
        <v>1</v>
      </c>
      <c r="I869" s="11">
        <f>SalesData[[#This Row],[Price]]*SalesData[[#This Row],[Quantity]]</f>
        <v>39.380000000000003</v>
      </c>
      <c r="J869" s="11" t="str">
        <f t="shared" si="13"/>
        <v>Low</v>
      </c>
      <c r="K869" s="21" t="s">
        <v>235</v>
      </c>
    </row>
    <row r="870" spans="1:11">
      <c r="A870" s="10">
        <v>43776</v>
      </c>
      <c r="B870" s="11" t="s">
        <v>9</v>
      </c>
      <c r="C870" s="11">
        <v>12703014</v>
      </c>
      <c r="D870" s="11" t="s">
        <v>235</v>
      </c>
      <c r="E870" s="11" t="s">
        <v>52</v>
      </c>
      <c r="F870" s="11">
        <v>39.380000000000003</v>
      </c>
      <c r="G870" s="11">
        <v>536301724</v>
      </c>
      <c r="H870" s="11">
        <v>5</v>
      </c>
      <c r="I870" s="11">
        <f>SalesData[[#This Row],[Price]]*SalesData[[#This Row],[Quantity]]</f>
        <v>196.9</v>
      </c>
      <c r="J870" s="11" t="str">
        <f t="shared" si="13"/>
        <v>Low</v>
      </c>
      <c r="K870" s="21" t="s">
        <v>235</v>
      </c>
    </row>
    <row r="871" spans="1:11">
      <c r="A871" s="10">
        <v>43780</v>
      </c>
      <c r="B871" s="11" t="s">
        <v>9</v>
      </c>
      <c r="C871" s="11">
        <v>16800592</v>
      </c>
      <c r="D871" s="11" t="s">
        <v>197</v>
      </c>
      <c r="E871" s="11" t="s">
        <v>198</v>
      </c>
      <c r="F871" s="11">
        <v>39.36</v>
      </c>
      <c r="G871" s="11">
        <v>514941863</v>
      </c>
      <c r="H871" s="11">
        <v>5</v>
      </c>
      <c r="I871" s="11">
        <f>SalesData[[#This Row],[Price]]*SalesData[[#This Row],[Quantity]]</f>
        <v>196.8</v>
      </c>
      <c r="J871" s="11" t="str">
        <f t="shared" si="13"/>
        <v>Low</v>
      </c>
      <c r="K871" s="21" t="s">
        <v>293</v>
      </c>
    </row>
    <row r="872" spans="1:11">
      <c r="A872" s="10">
        <v>43774</v>
      </c>
      <c r="B872" s="11" t="s">
        <v>9</v>
      </c>
      <c r="C872" s="11">
        <v>4804595</v>
      </c>
      <c r="D872" s="11" t="s">
        <v>33</v>
      </c>
      <c r="E872" s="11" t="s">
        <v>126</v>
      </c>
      <c r="F872" s="11">
        <v>39.299999999999997</v>
      </c>
      <c r="G872" s="11">
        <v>564408360</v>
      </c>
      <c r="H872" s="11">
        <v>4</v>
      </c>
      <c r="I872" s="11">
        <f>SalesData[[#This Row],[Price]]*SalesData[[#This Row],[Quantity]]</f>
        <v>157.19999999999999</v>
      </c>
      <c r="J872" s="11" t="str">
        <f t="shared" si="13"/>
        <v>Low</v>
      </c>
      <c r="K872" s="21" t="s">
        <v>290</v>
      </c>
    </row>
    <row r="873" spans="1:11">
      <c r="A873" s="10">
        <v>43777</v>
      </c>
      <c r="B873" s="11" t="s">
        <v>9</v>
      </c>
      <c r="C873" s="11">
        <v>12710984</v>
      </c>
      <c r="D873" s="11" t="s">
        <v>235</v>
      </c>
      <c r="E873" s="11" t="s">
        <v>216</v>
      </c>
      <c r="F873" s="11">
        <v>39.25</v>
      </c>
      <c r="G873" s="11">
        <v>544192753</v>
      </c>
      <c r="H873" s="11">
        <v>5</v>
      </c>
      <c r="I873" s="11">
        <f>SalesData[[#This Row],[Price]]*SalesData[[#This Row],[Quantity]]</f>
        <v>196.25</v>
      </c>
      <c r="J873" s="11" t="str">
        <f t="shared" si="13"/>
        <v>Low</v>
      </c>
      <c r="K873" s="21" t="s">
        <v>235</v>
      </c>
    </row>
    <row r="874" spans="1:11">
      <c r="A874" s="10">
        <v>43772</v>
      </c>
      <c r="B874" s="11" t="s">
        <v>9</v>
      </c>
      <c r="C874" s="11">
        <v>15200779</v>
      </c>
      <c r="D874" s="11" t="s">
        <v>235</v>
      </c>
      <c r="E874" s="11" t="s">
        <v>138</v>
      </c>
      <c r="F874" s="11">
        <v>38.869999999999997</v>
      </c>
      <c r="G874" s="11">
        <v>513944189</v>
      </c>
      <c r="H874" s="11">
        <v>5</v>
      </c>
      <c r="I874" s="11">
        <f>SalesData[[#This Row],[Price]]*SalesData[[#This Row],[Quantity]]</f>
        <v>194.35</v>
      </c>
      <c r="J874" s="11" t="str">
        <f t="shared" si="13"/>
        <v>Low</v>
      </c>
      <c r="K874" s="21" t="s">
        <v>235</v>
      </c>
    </row>
    <row r="875" spans="1:11">
      <c r="A875" s="10">
        <v>43782</v>
      </c>
      <c r="B875" s="11" t="s">
        <v>9</v>
      </c>
      <c r="C875" s="11">
        <v>3701004</v>
      </c>
      <c r="D875" s="11" t="s">
        <v>57</v>
      </c>
      <c r="E875" s="11" t="s">
        <v>29</v>
      </c>
      <c r="F875" s="11">
        <v>38.590000000000003</v>
      </c>
      <c r="G875" s="11">
        <v>514721092</v>
      </c>
      <c r="H875" s="11">
        <v>3</v>
      </c>
      <c r="I875" s="11">
        <f>SalesData[[#This Row],[Price]]*SalesData[[#This Row],[Quantity]]</f>
        <v>115.77000000000001</v>
      </c>
      <c r="J875" s="11" t="str">
        <f t="shared" si="13"/>
        <v>Low</v>
      </c>
      <c r="K875" s="21" t="s">
        <v>292</v>
      </c>
    </row>
    <row r="876" spans="1:11">
      <c r="A876" s="10">
        <v>43784</v>
      </c>
      <c r="B876" s="11" t="s">
        <v>9</v>
      </c>
      <c r="C876" s="11">
        <v>1600282</v>
      </c>
      <c r="D876" s="11" t="s">
        <v>30</v>
      </c>
      <c r="E876" s="11" t="s">
        <v>31</v>
      </c>
      <c r="F876" s="11">
        <v>38.35</v>
      </c>
      <c r="G876" s="11">
        <v>566188490</v>
      </c>
      <c r="H876" s="11">
        <v>5</v>
      </c>
      <c r="I876" s="11">
        <f>SalesData[[#This Row],[Price]]*SalesData[[#This Row],[Quantity]]</f>
        <v>191.75</v>
      </c>
      <c r="J876" s="11" t="str">
        <f t="shared" si="13"/>
        <v>Low</v>
      </c>
      <c r="K876" s="21" t="s">
        <v>291</v>
      </c>
    </row>
    <row r="877" spans="1:11">
      <c r="A877" s="10">
        <v>43783</v>
      </c>
      <c r="B877" s="11" t="s">
        <v>9</v>
      </c>
      <c r="C877" s="11">
        <v>12709562</v>
      </c>
      <c r="D877" s="11" t="s">
        <v>235</v>
      </c>
      <c r="E877" s="11" t="s">
        <v>53</v>
      </c>
      <c r="F877" s="11">
        <v>38.35</v>
      </c>
      <c r="G877" s="11">
        <v>541920131</v>
      </c>
      <c r="H877" s="11">
        <v>4</v>
      </c>
      <c r="I877" s="11">
        <f>SalesData[[#This Row],[Price]]*SalesData[[#This Row],[Quantity]]</f>
        <v>153.4</v>
      </c>
      <c r="J877" s="11" t="str">
        <f t="shared" si="13"/>
        <v>Low</v>
      </c>
      <c r="K877" s="21" t="s">
        <v>235</v>
      </c>
    </row>
    <row r="878" spans="1:11">
      <c r="A878" s="10">
        <v>43776</v>
      </c>
      <c r="B878" s="11" t="s">
        <v>9</v>
      </c>
      <c r="C878" s="11">
        <v>12720549</v>
      </c>
      <c r="D878" s="11" t="s">
        <v>235</v>
      </c>
      <c r="E878" s="11" t="s">
        <v>52</v>
      </c>
      <c r="F878" s="11">
        <v>38.35</v>
      </c>
      <c r="G878" s="11">
        <v>517412819</v>
      </c>
      <c r="H878" s="11">
        <v>2</v>
      </c>
      <c r="I878" s="11">
        <f>SalesData[[#This Row],[Price]]*SalesData[[#This Row],[Quantity]]</f>
        <v>76.7</v>
      </c>
      <c r="J878" s="11" t="str">
        <f t="shared" si="13"/>
        <v>Low</v>
      </c>
      <c r="K878" s="21" t="s">
        <v>235</v>
      </c>
    </row>
    <row r="879" spans="1:11">
      <c r="A879" s="10">
        <v>43778</v>
      </c>
      <c r="B879" s="11" t="s">
        <v>9</v>
      </c>
      <c r="C879" s="11">
        <v>12711216</v>
      </c>
      <c r="D879" s="11" t="s">
        <v>235</v>
      </c>
      <c r="E879" s="11" t="s">
        <v>52</v>
      </c>
      <c r="F879" s="11">
        <v>38.35</v>
      </c>
      <c r="G879" s="11">
        <v>528088267</v>
      </c>
      <c r="H879" s="11">
        <v>2</v>
      </c>
      <c r="I879" s="11">
        <f>SalesData[[#This Row],[Price]]*SalesData[[#This Row],[Quantity]]</f>
        <v>76.7</v>
      </c>
      <c r="J879" s="11" t="str">
        <f t="shared" si="13"/>
        <v>Low</v>
      </c>
      <c r="K879" s="21" t="s">
        <v>235</v>
      </c>
    </row>
    <row r="880" spans="1:11">
      <c r="A880" s="10">
        <v>43771</v>
      </c>
      <c r="B880" s="11" t="s">
        <v>9</v>
      </c>
      <c r="C880" s="11">
        <v>12720549</v>
      </c>
      <c r="D880" s="11" t="s">
        <v>235</v>
      </c>
      <c r="E880" s="11" t="s">
        <v>52</v>
      </c>
      <c r="F880" s="11">
        <v>38.35</v>
      </c>
      <c r="G880" s="11">
        <v>517140658</v>
      </c>
      <c r="H880" s="11">
        <v>5</v>
      </c>
      <c r="I880" s="11">
        <f>SalesData[[#This Row],[Price]]*SalesData[[#This Row],[Quantity]]</f>
        <v>191.75</v>
      </c>
      <c r="J880" s="11" t="str">
        <f t="shared" si="13"/>
        <v>Low</v>
      </c>
      <c r="K880" s="21" t="s">
        <v>235</v>
      </c>
    </row>
    <row r="881" spans="1:11">
      <c r="A881" s="10">
        <v>43776</v>
      </c>
      <c r="B881" s="11" t="s">
        <v>9</v>
      </c>
      <c r="C881" s="11">
        <v>13902420</v>
      </c>
      <c r="D881" s="11" t="s">
        <v>87</v>
      </c>
      <c r="E881" s="11" t="s">
        <v>88</v>
      </c>
      <c r="F881" s="11">
        <v>38.28</v>
      </c>
      <c r="G881" s="11">
        <v>514119888</v>
      </c>
      <c r="H881" s="11">
        <v>3</v>
      </c>
      <c r="I881" s="11">
        <f>SalesData[[#This Row],[Price]]*SalesData[[#This Row],[Quantity]]</f>
        <v>114.84</v>
      </c>
      <c r="J881" s="11" t="str">
        <f t="shared" si="13"/>
        <v>Low</v>
      </c>
      <c r="K881" s="21" t="s">
        <v>294</v>
      </c>
    </row>
    <row r="882" spans="1:11">
      <c r="A882" s="10">
        <v>43783</v>
      </c>
      <c r="B882" s="11" t="s">
        <v>9</v>
      </c>
      <c r="C882" s="11">
        <v>5300157</v>
      </c>
      <c r="D882" s="11" t="s">
        <v>235</v>
      </c>
      <c r="E882" s="11" t="s">
        <v>85</v>
      </c>
      <c r="F882" s="11">
        <v>38.19</v>
      </c>
      <c r="G882" s="11">
        <v>524033149</v>
      </c>
      <c r="H882" s="11">
        <v>4</v>
      </c>
      <c r="I882" s="11">
        <f>SalesData[[#This Row],[Price]]*SalesData[[#This Row],[Quantity]]</f>
        <v>152.76</v>
      </c>
      <c r="J882" s="11" t="str">
        <f t="shared" si="13"/>
        <v>Low</v>
      </c>
      <c r="K882" s="21" t="s">
        <v>235</v>
      </c>
    </row>
    <row r="883" spans="1:11">
      <c r="A883" s="10">
        <v>43776</v>
      </c>
      <c r="B883" s="11" t="s">
        <v>9</v>
      </c>
      <c r="C883" s="11">
        <v>12709380</v>
      </c>
      <c r="D883" s="11" t="s">
        <v>235</v>
      </c>
      <c r="E883" s="11" t="s">
        <v>53</v>
      </c>
      <c r="F883" s="11">
        <v>38.1</v>
      </c>
      <c r="G883" s="11">
        <v>520761071</v>
      </c>
      <c r="H883" s="11">
        <v>3</v>
      </c>
      <c r="I883" s="11">
        <f>SalesData[[#This Row],[Price]]*SalesData[[#This Row],[Quantity]]</f>
        <v>114.30000000000001</v>
      </c>
      <c r="J883" s="11" t="str">
        <f t="shared" si="13"/>
        <v>Low</v>
      </c>
      <c r="K883" s="21" t="s">
        <v>235</v>
      </c>
    </row>
    <row r="884" spans="1:11">
      <c r="A884" s="10">
        <v>43784</v>
      </c>
      <c r="B884" s="11" t="s">
        <v>9</v>
      </c>
      <c r="C884" s="11">
        <v>12711508</v>
      </c>
      <c r="D884" s="11" t="s">
        <v>235</v>
      </c>
      <c r="E884" s="11" t="s">
        <v>176</v>
      </c>
      <c r="F884" s="11">
        <v>37.07</v>
      </c>
      <c r="G884" s="11">
        <v>541990850</v>
      </c>
      <c r="H884" s="11">
        <v>4</v>
      </c>
      <c r="I884" s="11">
        <f>SalesData[[#This Row],[Price]]*SalesData[[#This Row],[Quantity]]</f>
        <v>148.28</v>
      </c>
      <c r="J884" s="11" t="str">
        <f t="shared" si="13"/>
        <v>Low</v>
      </c>
      <c r="K884" s="21" t="s">
        <v>235</v>
      </c>
    </row>
    <row r="885" spans="1:11">
      <c r="A885" s="10">
        <v>43771</v>
      </c>
      <c r="B885" s="11" t="s">
        <v>9</v>
      </c>
      <c r="C885" s="11">
        <v>12701256</v>
      </c>
      <c r="D885" s="11" t="s">
        <v>235</v>
      </c>
      <c r="E885" s="11" t="s">
        <v>36</v>
      </c>
      <c r="F885" s="11">
        <v>36.81</v>
      </c>
      <c r="G885" s="11">
        <v>513161134</v>
      </c>
      <c r="H885" s="11">
        <v>2</v>
      </c>
      <c r="I885" s="11">
        <f>SalesData[[#This Row],[Price]]*SalesData[[#This Row],[Quantity]]</f>
        <v>73.62</v>
      </c>
      <c r="J885" s="11" t="str">
        <f t="shared" si="13"/>
        <v>Low</v>
      </c>
      <c r="K885" s="21" t="s">
        <v>235</v>
      </c>
    </row>
    <row r="886" spans="1:11">
      <c r="A886" s="10">
        <v>43771</v>
      </c>
      <c r="B886" s="11" t="s">
        <v>9</v>
      </c>
      <c r="C886" s="11">
        <v>12709713</v>
      </c>
      <c r="D886" s="11" t="s">
        <v>235</v>
      </c>
      <c r="E886" s="11" t="s">
        <v>56</v>
      </c>
      <c r="F886" s="11">
        <v>36.29</v>
      </c>
      <c r="G886" s="11">
        <v>553814693</v>
      </c>
      <c r="H886" s="11">
        <v>4</v>
      </c>
      <c r="I886" s="11">
        <f>SalesData[[#This Row],[Price]]*SalesData[[#This Row],[Quantity]]</f>
        <v>145.16</v>
      </c>
      <c r="J886" s="11" t="str">
        <f t="shared" si="13"/>
        <v>Low</v>
      </c>
      <c r="K886" s="21" t="s">
        <v>235</v>
      </c>
    </row>
    <row r="887" spans="1:11">
      <c r="A887" s="10">
        <v>43775</v>
      </c>
      <c r="B887" s="11" t="s">
        <v>9</v>
      </c>
      <c r="C887" s="11">
        <v>10201178</v>
      </c>
      <c r="D887" s="11" t="s">
        <v>155</v>
      </c>
      <c r="E887" s="11" t="s">
        <v>156</v>
      </c>
      <c r="F887" s="11">
        <v>36.07</v>
      </c>
      <c r="G887" s="11">
        <v>531728455</v>
      </c>
      <c r="H887" s="11">
        <v>2</v>
      </c>
      <c r="I887" s="11">
        <f>SalesData[[#This Row],[Price]]*SalesData[[#This Row],[Quantity]]</f>
        <v>72.14</v>
      </c>
      <c r="J887" s="11" t="str">
        <f t="shared" si="13"/>
        <v>Low</v>
      </c>
      <c r="K887" s="21" t="s">
        <v>298</v>
      </c>
    </row>
    <row r="888" spans="1:11">
      <c r="A888" s="10">
        <v>43770</v>
      </c>
      <c r="B888" s="11" t="s">
        <v>9</v>
      </c>
      <c r="C888" s="11">
        <v>3100491</v>
      </c>
      <c r="D888" s="11" t="s">
        <v>50</v>
      </c>
      <c r="E888" s="11" t="s">
        <v>153</v>
      </c>
      <c r="F888" s="11">
        <v>36.01</v>
      </c>
      <c r="G888" s="11">
        <v>514215660</v>
      </c>
      <c r="H888" s="11">
        <v>5</v>
      </c>
      <c r="I888" s="11">
        <f>SalesData[[#This Row],[Price]]*SalesData[[#This Row],[Quantity]]</f>
        <v>180.04999999999998</v>
      </c>
      <c r="J888" s="11" t="str">
        <f t="shared" si="13"/>
        <v>Low</v>
      </c>
      <c r="K888" s="21" t="s">
        <v>292</v>
      </c>
    </row>
    <row r="889" spans="1:11">
      <c r="A889" s="10">
        <v>43781</v>
      </c>
      <c r="B889" s="11" t="s">
        <v>9</v>
      </c>
      <c r="C889" s="11">
        <v>12702930</v>
      </c>
      <c r="D889" s="11" t="s">
        <v>235</v>
      </c>
      <c r="E889" s="11" t="s">
        <v>52</v>
      </c>
      <c r="F889" s="11">
        <v>35.78</v>
      </c>
      <c r="G889" s="11">
        <v>514784807</v>
      </c>
      <c r="H889" s="11">
        <v>1</v>
      </c>
      <c r="I889" s="11">
        <f>SalesData[[#This Row],[Price]]*SalesData[[#This Row],[Quantity]]</f>
        <v>35.78</v>
      </c>
      <c r="J889" s="11" t="str">
        <f t="shared" si="13"/>
        <v>Low</v>
      </c>
      <c r="K889" s="21" t="s">
        <v>235</v>
      </c>
    </row>
    <row r="890" spans="1:11">
      <c r="A890" s="10">
        <v>43776</v>
      </c>
      <c r="B890" s="11" t="s">
        <v>9</v>
      </c>
      <c r="C890" s="11">
        <v>44700037</v>
      </c>
      <c r="D890" s="11" t="s">
        <v>235</v>
      </c>
      <c r="E890" s="11" t="s">
        <v>235</v>
      </c>
      <c r="F890" s="11">
        <v>35.26</v>
      </c>
      <c r="G890" s="11">
        <v>563283746</v>
      </c>
      <c r="H890" s="11">
        <v>4</v>
      </c>
      <c r="I890" s="11">
        <f>SalesData[[#This Row],[Price]]*SalesData[[#This Row],[Quantity]]</f>
        <v>141.04</v>
      </c>
      <c r="J890" s="11" t="str">
        <f t="shared" si="13"/>
        <v>Low</v>
      </c>
      <c r="K890" s="21" t="s">
        <v>235</v>
      </c>
    </row>
    <row r="891" spans="1:11">
      <c r="A891" s="10">
        <v>43777</v>
      </c>
      <c r="B891" s="11" t="s">
        <v>9</v>
      </c>
      <c r="C891" s="11">
        <v>12705843</v>
      </c>
      <c r="D891" s="11" t="s">
        <v>235</v>
      </c>
      <c r="E891" s="11" t="s">
        <v>235</v>
      </c>
      <c r="F891" s="11">
        <v>35.24</v>
      </c>
      <c r="G891" s="11">
        <v>517896339</v>
      </c>
      <c r="H891" s="11">
        <v>2</v>
      </c>
      <c r="I891" s="11">
        <f>SalesData[[#This Row],[Price]]*SalesData[[#This Row],[Quantity]]</f>
        <v>70.48</v>
      </c>
      <c r="J891" s="11" t="str">
        <f t="shared" si="13"/>
        <v>Low</v>
      </c>
      <c r="K891" s="21" t="s">
        <v>235</v>
      </c>
    </row>
    <row r="892" spans="1:11">
      <c r="A892" s="10">
        <v>43774</v>
      </c>
      <c r="B892" s="11" t="s">
        <v>9</v>
      </c>
      <c r="C892" s="11">
        <v>16000973</v>
      </c>
      <c r="D892" s="11" t="s">
        <v>235</v>
      </c>
      <c r="E892" s="11" t="s">
        <v>111</v>
      </c>
      <c r="F892" s="11">
        <v>34.96</v>
      </c>
      <c r="G892" s="11">
        <v>513581515</v>
      </c>
      <c r="H892" s="11">
        <v>3</v>
      </c>
      <c r="I892" s="11">
        <f>SalesData[[#This Row],[Price]]*SalesData[[#This Row],[Quantity]]</f>
        <v>104.88</v>
      </c>
      <c r="J892" s="11" t="str">
        <f t="shared" si="13"/>
        <v>Low</v>
      </c>
      <c r="K892" s="21" t="s">
        <v>235</v>
      </c>
    </row>
    <row r="893" spans="1:11">
      <c r="A893" s="10">
        <v>43774</v>
      </c>
      <c r="B893" s="11" t="s">
        <v>9</v>
      </c>
      <c r="C893" s="11">
        <v>5800822</v>
      </c>
      <c r="D893" s="11" t="s">
        <v>16</v>
      </c>
      <c r="E893" s="11" t="s">
        <v>98</v>
      </c>
      <c r="F893" s="11">
        <v>34.75</v>
      </c>
      <c r="G893" s="11">
        <v>560172195</v>
      </c>
      <c r="H893" s="11">
        <v>4</v>
      </c>
      <c r="I893" s="11">
        <f>SalesData[[#This Row],[Price]]*SalesData[[#This Row],[Quantity]]</f>
        <v>139</v>
      </c>
      <c r="J893" s="11" t="str">
        <f t="shared" si="13"/>
        <v>Low</v>
      </c>
      <c r="K893" s="21" t="s">
        <v>290</v>
      </c>
    </row>
    <row r="894" spans="1:11">
      <c r="A894" s="10">
        <v>43776</v>
      </c>
      <c r="B894" s="11" t="s">
        <v>9</v>
      </c>
      <c r="C894" s="11">
        <v>12718063</v>
      </c>
      <c r="D894" s="11" t="s">
        <v>235</v>
      </c>
      <c r="E894" s="11" t="s">
        <v>235</v>
      </c>
      <c r="F894" s="11">
        <v>34.75</v>
      </c>
      <c r="G894" s="11">
        <v>514371769</v>
      </c>
      <c r="H894" s="11">
        <v>5</v>
      </c>
      <c r="I894" s="11">
        <f>SalesData[[#This Row],[Price]]*SalesData[[#This Row],[Quantity]]</f>
        <v>173.75</v>
      </c>
      <c r="J894" s="11" t="str">
        <f t="shared" si="13"/>
        <v>Low</v>
      </c>
      <c r="K894" s="21" t="s">
        <v>235</v>
      </c>
    </row>
    <row r="895" spans="1:11">
      <c r="A895" s="10">
        <v>43773</v>
      </c>
      <c r="B895" s="11" t="s">
        <v>9</v>
      </c>
      <c r="C895" s="11">
        <v>12718063</v>
      </c>
      <c r="D895" s="11" t="s">
        <v>235</v>
      </c>
      <c r="E895" s="11" t="s">
        <v>235</v>
      </c>
      <c r="F895" s="11">
        <v>34.75</v>
      </c>
      <c r="G895" s="11">
        <v>550123505</v>
      </c>
      <c r="H895" s="11">
        <v>2</v>
      </c>
      <c r="I895" s="11">
        <f>SalesData[[#This Row],[Price]]*SalesData[[#This Row],[Quantity]]</f>
        <v>69.5</v>
      </c>
      <c r="J895" s="11" t="str">
        <f t="shared" si="13"/>
        <v>Low</v>
      </c>
      <c r="K895" s="21" t="s">
        <v>235</v>
      </c>
    </row>
    <row r="896" spans="1:11">
      <c r="A896" s="10">
        <v>43780</v>
      </c>
      <c r="B896" s="11" t="s">
        <v>9</v>
      </c>
      <c r="C896" s="11">
        <v>12718063</v>
      </c>
      <c r="D896" s="11" t="s">
        <v>235</v>
      </c>
      <c r="E896" s="11" t="s">
        <v>235</v>
      </c>
      <c r="F896" s="11">
        <v>34.75</v>
      </c>
      <c r="G896" s="11">
        <v>514371769</v>
      </c>
      <c r="H896" s="11">
        <v>2</v>
      </c>
      <c r="I896" s="11">
        <f>SalesData[[#This Row],[Price]]*SalesData[[#This Row],[Quantity]]</f>
        <v>69.5</v>
      </c>
      <c r="J896" s="11" t="str">
        <f t="shared" si="13"/>
        <v>Low</v>
      </c>
      <c r="K896" s="21" t="s">
        <v>235</v>
      </c>
    </row>
    <row r="897" spans="1:11">
      <c r="A897" s="10">
        <v>43774</v>
      </c>
      <c r="B897" s="11" t="s">
        <v>9</v>
      </c>
      <c r="C897" s="11">
        <v>12718063</v>
      </c>
      <c r="D897" s="11" t="s">
        <v>235</v>
      </c>
      <c r="E897" s="11" t="s">
        <v>235</v>
      </c>
      <c r="F897" s="11">
        <v>34.75</v>
      </c>
      <c r="G897" s="11">
        <v>550123505</v>
      </c>
      <c r="H897" s="11">
        <v>2</v>
      </c>
      <c r="I897" s="11">
        <f>SalesData[[#This Row],[Price]]*SalesData[[#This Row],[Quantity]]</f>
        <v>69.5</v>
      </c>
      <c r="J897" s="11" t="str">
        <f t="shared" si="13"/>
        <v>Low</v>
      </c>
      <c r="K897" s="21" t="s">
        <v>235</v>
      </c>
    </row>
    <row r="898" spans="1:11">
      <c r="A898" s="10">
        <v>43770</v>
      </c>
      <c r="B898" s="11" t="s">
        <v>9</v>
      </c>
      <c r="C898" s="11">
        <v>6801076</v>
      </c>
      <c r="D898" s="11" t="s">
        <v>165</v>
      </c>
      <c r="E898" s="11" t="s">
        <v>166</v>
      </c>
      <c r="F898" s="11">
        <v>34.75</v>
      </c>
      <c r="G898" s="11">
        <v>513271911</v>
      </c>
      <c r="H898" s="11">
        <v>4</v>
      </c>
      <c r="I898" s="11">
        <f>SalesData[[#This Row],[Price]]*SalesData[[#This Row],[Quantity]]</f>
        <v>139</v>
      </c>
      <c r="J898" s="11" t="str">
        <f t="shared" ref="J898:J961" si="14">IF(F898&lt;500, "Low", IF(F898&lt;1500, "Medium", "High"))</f>
        <v>Low</v>
      </c>
      <c r="K898" s="21" t="s">
        <v>291</v>
      </c>
    </row>
    <row r="899" spans="1:11">
      <c r="A899" s="10">
        <v>43779</v>
      </c>
      <c r="B899" s="11" t="s">
        <v>9</v>
      </c>
      <c r="C899" s="11">
        <v>5100601</v>
      </c>
      <c r="D899" s="11" t="s">
        <v>45</v>
      </c>
      <c r="E899" s="11" t="s">
        <v>210</v>
      </c>
      <c r="F899" s="11">
        <v>33.44</v>
      </c>
      <c r="G899" s="11">
        <v>520744469</v>
      </c>
      <c r="H899" s="11">
        <v>3</v>
      </c>
      <c r="I899" s="11">
        <f>SalesData[[#This Row],[Price]]*SalesData[[#This Row],[Quantity]]</f>
        <v>100.32</v>
      </c>
      <c r="J899" s="11" t="str">
        <f t="shared" si="14"/>
        <v>Low</v>
      </c>
      <c r="K899" s="21" t="s">
        <v>290</v>
      </c>
    </row>
    <row r="900" spans="1:11">
      <c r="A900" s="10">
        <v>43770</v>
      </c>
      <c r="B900" s="11" t="s">
        <v>9</v>
      </c>
      <c r="C900" s="11">
        <v>9700230</v>
      </c>
      <c r="D900" s="11" t="s">
        <v>221</v>
      </c>
      <c r="E900" s="11" t="s">
        <v>222</v>
      </c>
      <c r="F900" s="11">
        <v>33.21</v>
      </c>
      <c r="G900" s="11">
        <v>512431922</v>
      </c>
      <c r="H900" s="11">
        <v>2</v>
      </c>
      <c r="I900" s="11">
        <f>SalesData[[#This Row],[Price]]*SalesData[[#This Row],[Quantity]]</f>
        <v>66.42</v>
      </c>
      <c r="J900" s="11" t="str">
        <f t="shared" si="14"/>
        <v>Low</v>
      </c>
      <c r="K900" s="21" t="s">
        <v>291</v>
      </c>
    </row>
    <row r="901" spans="1:11">
      <c r="A901" s="10">
        <v>43777</v>
      </c>
      <c r="B901" s="11" t="s">
        <v>9</v>
      </c>
      <c r="C901" s="11">
        <v>3701244</v>
      </c>
      <c r="D901" s="11" t="s">
        <v>57</v>
      </c>
      <c r="E901" s="11" t="s">
        <v>203</v>
      </c>
      <c r="F901" s="11">
        <v>32.869999999999997</v>
      </c>
      <c r="G901" s="11">
        <v>519290140</v>
      </c>
      <c r="H901" s="11">
        <v>5</v>
      </c>
      <c r="I901" s="11">
        <f>SalesData[[#This Row],[Price]]*SalesData[[#This Row],[Quantity]]</f>
        <v>164.35</v>
      </c>
      <c r="J901" s="11" t="str">
        <f t="shared" si="14"/>
        <v>Low</v>
      </c>
      <c r="K901" s="21" t="s">
        <v>292</v>
      </c>
    </row>
    <row r="902" spans="1:11">
      <c r="A902" s="10">
        <v>43782</v>
      </c>
      <c r="B902" s="11" t="s">
        <v>9</v>
      </c>
      <c r="C902" s="11">
        <v>12707153</v>
      </c>
      <c r="D902" s="11" t="s">
        <v>235</v>
      </c>
      <c r="E902" s="11" t="s">
        <v>235</v>
      </c>
      <c r="F902" s="11">
        <v>32.69</v>
      </c>
      <c r="G902" s="11">
        <v>515472639</v>
      </c>
      <c r="H902" s="11">
        <v>2</v>
      </c>
      <c r="I902" s="11">
        <f>SalesData[[#This Row],[Price]]*SalesData[[#This Row],[Quantity]]</f>
        <v>65.38</v>
      </c>
      <c r="J902" s="11" t="str">
        <f t="shared" si="14"/>
        <v>Low</v>
      </c>
      <c r="K902" s="21" t="s">
        <v>235</v>
      </c>
    </row>
    <row r="903" spans="1:11">
      <c r="A903" s="10">
        <v>43775</v>
      </c>
      <c r="B903" s="11" t="s">
        <v>9</v>
      </c>
      <c r="C903" s="11">
        <v>12711053</v>
      </c>
      <c r="D903" s="11" t="s">
        <v>235</v>
      </c>
      <c r="E903" s="11" t="s">
        <v>176</v>
      </c>
      <c r="F903" s="11">
        <v>32.69</v>
      </c>
      <c r="G903" s="11">
        <v>544120959</v>
      </c>
      <c r="H903" s="11">
        <v>2</v>
      </c>
      <c r="I903" s="11">
        <f>SalesData[[#This Row],[Price]]*SalesData[[#This Row],[Quantity]]</f>
        <v>65.38</v>
      </c>
      <c r="J903" s="11" t="str">
        <f t="shared" si="14"/>
        <v>Low</v>
      </c>
      <c r="K903" s="21" t="s">
        <v>235</v>
      </c>
    </row>
    <row r="904" spans="1:11">
      <c r="A904" s="10">
        <v>43770</v>
      </c>
      <c r="B904" s="11" t="s">
        <v>9</v>
      </c>
      <c r="C904" s="11">
        <v>9800313</v>
      </c>
      <c r="D904" s="11" t="s">
        <v>235</v>
      </c>
      <c r="E904" s="11" t="s">
        <v>235</v>
      </c>
      <c r="F904" s="11">
        <v>32.5</v>
      </c>
      <c r="G904" s="11">
        <v>512431922</v>
      </c>
      <c r="H904" s="11">
        <v>4</v>
      </c>
      <c r="I904" s="11">
        <f>SalesData[[#This Row],[Price]]*SalesData[[#This Row],[Quantity]]</f>
        <v>130</v>
      </c>
      <c r="J904" s="11" t="str">
        <f t="shared" si="14"/>
        <v>Low</v>
      </c>
      <c r="K904" s="21" t="s">
        <v>235</v>
      </c>
    </row>
    <row r="905" spans="1:11">
      <c r="A905" s="10">
        <v>43777</v>
      </c>
      <c r="B905" s="11" t="s">
        <v>9</v>
      </c>
      <c r="C905" s="11">
        <v>12701967</v>
      </c>
      <c r="D905" s="11" t="s">
        <v>235</v>
      </c>
      <c r="E905" s="11" t="s">
        <v>52</v>
      </c>
      <c r="F905" s="11">
        <v>32.18</v>
      </c>
      <c r="G905" s="11">
        <v>550123505</v>
      </c>
      <c r="H905" s="11">
        <v>5</v>
      </c>
      <c r="I905" s="11">
        <f>SalesData[[#This Row],[Price]]*SalesData[[#This Row],[Quantity]]</f>
        <v>160.9</v>
      </c>
      <c r="J905" s="11" t="str">
        <f t="shared" si="14"/>
        <v>Low</v>
      </c>
      <c r="K905" s="21" t="s">
        <v>235</v>
      </c>
    </row>
    <row r="906" spans="1:11">
      <c r="A906" s="10">
        <v>43770</v>
      </c>
      <c r="B906" s="11" t="s">
        <v>9</v>
      </c>
      <c r="C906" s="11">
        <v>17300761</v>
      </c>
      <c r="D906" s="11" t="s">
        <v>235</v>
      </c>
      <c r="E906" s="11" t="s">
        <v>90</v>
      </c>
      <c r="F906" s="11">
        <v>32.17</v>
      </c>
      <c r="G906" s="11">
        <v>551673569</v>
      </c>
      <c r="H906" s="11">
        <v>3</v>
      </c>
      <c r="I906" s="11">
        <f>SalesData[[#This Row],[Price]]*SalesData[[#This Row],[Quantity]]</f>
        <v>96.51</v>
      </c>
      <c r="J906" s="11" t="str">
        <f t="shared" si="14"/>
        <v>Low</v>
      </c>
      <c r="K906" s="21" t="s">
        <v>235</v>
      </c>
    </row>
    <row r="907" spans="1:11">
      <c r="A907" s="10">
        <v>43780</v>
      </c>
      <c r="B907" s="11" t="s">
        <v>9</v>
      </c>
      <c r="C907" s="11">
        <v>12713435</v>
      </c>
      <c r="D907" s="11" t="s">
        <v>235</v>
      </c>
      <c r="E907" s="11" t="s">
        <v>176</v>
      </c>
      <c r="F907" s="11">
        <v>31.92</v>
      </c>
      <c r="G907" s="11">
        <v>517653365</v>
      </c>
      <c r="H907" s="11">
        <v>3</v>
      </c>
      <c r="I907" s="11">
        <f>SalesData[[#This Row],[Price]]*SalesData[[#This Row],[Quantity]]</f>
        <v>95.76</v>
      </c>
      <c r="J907" s="11" t="str">
        <f t="shared" si="14"/>
        <v>Low</v>
      </c>
      <c r="K907" s="21" t="s">
        <v>235</v>
      </c>
    </row>
    <row r="908" spans="1:11">
      <c r="A908" s="10">
        <v>43771</v>
      </c>
      <c r="B908" s="11" t="s">
        <v>9</v>
      </c>
      <c r="C908" s="11">
        <v>48300031</v>
      </c>
      <c r="D908" s="11" t="s">
        <v>235</v>
      </c>
      <c r="E908" s="11" t="s">
        <v>235</v>
      </c>
      <c r="F908" s="11">
        <v>31.91</v>
      </c>
      <c r="G908" s="11">
        <v>547211786</v>
      </c>
      <c r="H908" s="11">
        <v>2</v>
      </c>
      <c r="I908" s="11">
        <f>SalesData[[#This Row],[Price]]*SalesData[[#This Row],[Quantity]]</f>
        <v>63.82</v>
      </c>
      <c r="J908" s="11" t="str">
        <f t="shared" si="14"/>
        <v>Low</v>
      </c>
      <c r="K908" s="21" t="s">
        <v>235</v>
      </c>
    </row>
    <row r="909" spans="1:11">
      <c r="A909" s="10">
        <v>43779</v>
      </c>
      <c r="B909" s="11" t="s">
        <v>9</v>
      </c>
      <c r="C909" s="11">
        <v>17301345</v>
      </c>
      <c r="D909" s="11" t="s">
        <v>235</v>
      </c>
      <c r="E909" s="11" t="s">
        <v>118</v>
      </c>
      <c r="F909" s="11">
        <v>30.89</v>
      </c>
      <c r="G909" s="11">
        <v>512682396</v>
      </c>
      <c r="H909" s="11">
        <v>5</v>
      </c>
      <c r="I909" s="11">
        <f>SalesData[[#This Row],[Price]]*SalesData[[#This Row],[Quantity]]</f>
        <v>154.44999999999999</v>
      </c>
      <c r="J909" s="11" t="str">
        <f t="shared" si="14"/>
        <v>Low</v>
      </c>
      <c r="K909" s="21" t="s">
        <v>235</v>
      </c>
    </row>
    <row r="910" spans="1:11">
      <c r="A910" s="10">
        <v>43777</v>
      </c>
      <c r="B910" s="11" t="s">
        <v>9</v>
      </c>
      <c r="C910" s="11">
        <v>3700926</v>
      </c>
      <c r="D910" s="11" t="s">
        <v>57</v>
      </c>
      <c r="E910" s="11" t="s">
        <v>13</v>
      </c>
      <c r="F910" s="11">
        <v>64.02</v>
      </c>
      <c r="G910" s="11">
        <v>517169002</v>
      </c>
      <c r="H910" s="11">
        <v>3</v>
      </c>
      <c r="I910" s="11">
        <f>SalesData[[#This Row],[Price]]*SalesData[[#This Row],[Quantity]]</f>
        <v>192.06</v>
      </c>
      <c r="J910" s="11" t="str">
        <f t="shared" si="14"/>
        <v>Low</v>
      </c>
      <c r="K910" s="21" t="s">
        <v>292</v>
      </c>
    </row>
    <row r="911" spans="1:11">
      <c r="A911" s="10">
        <v>43780</v>
      </c>
      <c r="B911" s="11" t="s">
        <v>9</v>
      </c>
      <c r="C911" s="11">
        <v>3700926</v>
      </c>
      <c r="D911" s="11" t="s">
        <v>57</v>
      </c>
      <c r="E911" s="11" t="s">
        <v>13</v>
      </c>
      <c r="F911" s="11">
        <v>64.02</v>
      </c>
      <c r="G911" s="11">
        <v>552005062</v>
      </c>
      <c r="H911" s="11">
        <v>1</v>
      </c>
      <c r="I911" s="11">
        <f>SalesData[[#This Row],[Price]]*SalesData[[#This Row],[Quantity]]</f>
        <v>64.02</v>
      </c>
      <c r="J911" s="11" t="str">
        <f t="shared" si="14"/>
        <v>Low</v>
      </c>
      <c r="K911" s="21" t="s">
        <v>292</v>
      </c>
    </row>
    <row r="912" spans="1:11">
      <c r="A912" s="10">
        <v>43778</v>
      </c>
      <c r="B912" s="11" t="s">
        <v>9</v>
      </c>
      <c r="C912" s="11">
        <v>12709558</v>
      </c>
      <c r="D912" s="11" t="s">
        <v>235</v>
      </c>
      <c r="E912" s="11" t="s">
        <v>235</v>
      </c>
      <c r="F912" s="11">
        <v>30.76</v>
      </c>
      <c r="G912" s="11">
        <v>547320561</v>
      </c>
      <c r="H912" s="11">
        <v>1</v>
      </c>
      <c r="I912" s="11">
        <f>SalesData[[#This Row],[Price]]*SalesData[[#This Row],[Quantity]]</f>
        <v>30.76</v>
      </c>
      <c r="J912" s="11" t="str">
        <f t="shared" si="14"/>
        <v>Low</v>
      </c>
      <c r="K912" s="21" t="s">
        <v>235</v>
      </c>
    </row>
    <row r="913" spans="1:11">
      <c r="A913" s="10">
        <v>43778</v>
      </c>
      <c r="B913" s="11" t="s">
        <v>9</v>
      </c>
      <c r="C913" s="11">
        <v>21402432</v>
      </c>
      <c r="D913" s="11" t="s">
        <v>45</v>
      </c>
      <c r="E913" s="11" t="s">
        <v>235</v>
      </c>
      <c r="F913" s="11">
        <v>30.37</v>
      </c>
      <c r="G913" s="11">
        <v>564993535</v>
      </c>
      <c r="H913" s="11">
        <v>5</v>
      </c>
      <c r="I913" s="11">
        <f>SalesData[[#This Row],[Price]]*SalesData[[#This Row],[Quantity]]</f>
        <v>151.85</v>
      </c>
      <c r="J913" s="11" t="str">
        <f t="shared" si="14"/>
        <v>Low</v>
      </c>
      <c r="K913" s="21" t="s">
        <v>290</v>
      </c>
    </row>
    <row r="914" spans="1:11">
      <c r="A914" s="10">
        <v>43781</v>
      </c>
      <c r="B914" s="11" t="s">
        <v>9</v>
      </c>
      <c r="C914" s="11">
        <v>13900090</v>
      </c>
      <c r="D914" s="11" t="s">
        <v>87</v>
      </c>
      <c r="E914" s="11" t="s">
        <v>88</v>
      </c>
      <c r="F914" s="11">
        <v>30.36</v>
      </c>
      <c r="G914" s="11">
        <v>514119888</v>
      </c>
      <c r="H914" s="11">
        <v>5</v>
      </c>
      <c r="I914" s="11">
        <f>SalesData[[#This Row],[Price]]*SalesData[[#This Row],[Quantity]]</f>
        <v>151.80000000000001</v>
      </c>
      <c r="J914" s="11" t="str">
        <f t="shared" si="14"/>
        <v>Low</v>
      </c>
      <c r="K914" s="21" t="s">
        <v>294</v>
      </c>
    </row>
    <row r="915" spans="1:11">
      <c r="A915" s="10">
        <v>43771</v>
      </c>
      <c r="B915" s="11" t="s">
        <v>9</v>
      </c>
      <c r="C915" s="11">
        <v>11200451</v>
      </c>
      <c r="D915" s="11" t="s">
        <v>134</v>
      </c>
      <c r="E915" s="11" t="s">
        <v>60</v>
      </c>
      <c r="F915" s="11">
        <v>30.34</v>
      </c>
      <c r="G915" s="11">
        <v>532841906</v>
      </c>
      <c r="H915" s="11">
        <v>5</v>
      </c>
      <c r="I915" s="11">
        <f>SalesData[[#This Row],[Price]]*SalesData[[#This Row],[Quantity]]</f>
        <v>151.69999999999999</v>
      </c>
      <c r="J915" s="11" t="str">
        <f t="shared" si="14"/>
        <v>Low</v>
      </c>
      <c r="K915" s="21" t="s">
        <v>292</v>
      </c>
    </row>
    <row r="916" spans="1:11">
      <c r="A916" s="10">
        <v>43783</v>
      </c>
      <c r="B916" s="11" t="s">
        <v>9</v>
      </c>
      <c r="C916" s="11">
        <v>4802401</v>
      </c>
      <c r="D916" s="11" t="s">
        <v>33</v>
      </c>
      <c r="E916" s="11" t="s">
        <v>13</v>
      </c>
      <c r="F916" s="11">
        <v>43.43</v>
      </c>
      <c r="G916" s="11">
        <v>560932165</v>
      </c>
      <c r="H916" s="11">
        <v>5</v>
      </c>
      <c r="I916" s="11">
        <f>SalesData[[#This Row],[Price]]*SalesData[[#This Row],[Quantity]]</f>
        <v>217.15</v>
      </c>
      <c r="J916" s="11" t="str">
        <f t="shared" si="14"/>
        <v>Low</v>
      </c>
      <c r="K916" s="21" t="s">
        <v>290</v>
      </c>
    </row>
    <row r="917" spans="1:11">
      <c r="A917" s="10">
        <v>43774</v>
      </c>
      <c r="B917" s="11" t="s">
        <v>9</v>
      </c>
      <c r="C917" s="11">
        <v>17300762</v>
      </c>
      <c r="D917" s="11" t="s">
        <v>235</v>
      </c>
      <c r="E917" s="11" t="s">
        <v>90</v>
      </c>
      <c r="F917" s="11">
        <v>29.6</v>
      </c>
      <c r="G917" s="11">
        <v>513052669</v>
      </c>
      <c r="H917" s="11">
        <v>1</v>
      </c>
      <c r="I917" s="11">
        <f>SalesData[[#This Row],[Price]]*SalesData[[#This Row],[Quantity]]</f>
        <v>29.6</v>
      </c>
      <c r="J917" s="11" t="str">
        <f t="shared" si="14"/>
        <v>Low</v>
      </c>
      <c r="K917" s="21" t="s">
        <v>235</v>
      </c>
    </row>
    <row r="918" spans="1:11">
      <c r="A918" s="10">
        <v>43778</v>
      </c>
      <c r="B918" s="11" t="s">
        <v>9</v>
      </c>
      <c r="C918" s="11">
        <v>5100816</v>
      </c>
      <c r="D918" s="11" t="s">
        <v>235</v>
      </c>
      <c r="E918" s="11" t="s">
        <v>12</v>
      </c>
      <c r="F918" s="11">
        <v>29.58</v>
      </c>
      <c r="G918" s="11">
        <v>537372295</v>
      </c>
      <c r="H918" s="11">
        <v>5</v>
      </c>
      <c r="I918" s="11">
        <f>SalesData[[#This Row],[Price]]*SalesData[[#This Row],[Quantity]]</f>
        <v>147.89999999999998</v>
      </c>
      <c r="J918" s="11" t="str">
        <f t="shared" si="14"/>
        <v>Low</v>
      </c>
      <c r="K918" s="21" t="s">
        <v>235</v>
      </c>
    </row>
    <row r="919" spans="1:11">
      <c r="A919" s="10">
        <v>43773</v>
      </c>
      <c r="B919" s="11" t="s">
        <v>9</v>
      </c>
      <c r="C919" s="11">
        <v>5100816</v>
      </c>
      <c r="D919" s="11" t="s">
        <v>235</v>
      </c>
      <c r="E919" s="11" t="s">
        <v>12</v>
      </c>
      <c r="F919" s="11">
        <v>29.58</v>
      </c>
      <c r="G919" s="11">
        <v>513277928</v>
      </c>
      <c r="H919" s="11">
        <v>3</v>
      </c>
      <c r="I919" s="11">
        <f>SalesData[[#This Row],[Price]]*SalesData[[#This Row],[Quantity]]</f>
        <v>88.74</v>
      </c>
      <c r="J919" s="11" t="str">
        <f t="shared" si="14"/>
        <v>Low</v>
      </c>
      <c r="K919" s="21" t="s">
        <v>235</v>
      </c>
    </row>
    <row r="920" spans="1:11">
      <c r="A920" s="10">
        <v>43784</v>
      </c>
      <c r="B920" s="11" t="s">
        <v>9</v>
      </c>
      <c r="C920" s="11">
        <v>5100816</v>
      </c>
      <c r="D920" s="11" t="s">
        <v>235</v>
      </c>
      <c r="E920" s="11" t="s">
        <v>12</v>
      </c>
      <c r="F920" s="11">
        <v>29.58</v>
      </c>
      <c r="G920" s="11">
        <v>513771111</v>
      </c>
      <c r="H920" s="11">
        <v>2</v>
      </c>
      <c r="I920" s="11">
        <f>SalesData[[#This Row],[Price]]*SalesData[[#This Row],[Quantity]]</f>
        <v>59.16</v>
      </c>
      <c r="J920" s="11" t="str">
        <f t="shared" si="14"/>
        <v>Low</v>
      </c>
      <c r="K920" s="21" t="s">
        <v>235</v>
      </c>
    </row>
    <row r="921" spans="1:11">
      <c r="A921" s="10">
        <v>43771</v>
      </c>
      <c r="B921" s="11" t="s">
        <v>9</v>
      </c>
      <c r="C921" s="11">
        <v>5100816</v>
      </c>
      <c r="D921" s="11" t="s">
        <v>235</v>
      </c>
      <c r="E921" s="11" t="s">
        <v>12</v>
      </c>
      <c r="F921" s="11">
        <v>29.58</v>
      </c>
      <c r="G921" s="11">
        <v>566294781</v>
      </c>
      <c r="H921" s="11">
        <v>4</v>
      </c>
      <c r="I921" s="11">
        <f>SalesData[[#This Row],[Price]]*SalesData[[#This Row],[Quantity]]</f>
        <v>118.32</v>
      </c>
      <c r="J921" s="11" t="str">
        <f t="shared" si="14"/>
        <v>Low</v>
      </c>
      <c r="K921" s="21" t="s">
        <v>235</v>
      </c>
    </row>
    <row r="922" spans="1:11">
      <c r="A922" s="10">
        <v>43778</v>
      </c>
      <c r="B922" s="11" t="s">
        <v>9</v>
      </c>
      <c r="C922" s="11">
        <v>5100816</v>
      </c>
      <c r="D922" s="11" t="s">
        <v>235</v>
      </c>
      <c r="E922" s="11" t="s">
        <v>12</v>
      </c>
      <c r="F922" s="11">
        <v>29.58</v>
      </c>
      <c r="G922" s="11">
        <v>566298502</v>
      </c>
      <c r="H922" s="11">
        <v>5</v>
      </c>
      <c r="I922" s="11">
        <f>SalesData[[#This Row],[Price]]*SalesData[[#This Row],[Quantity]]</f>
        <v>147.89999999999998</v>
      </c>
      <c r="J922" s="11" t="str">
        <f t="shared" si="14"/>
        <v>Low</v>
      </c>
      <c r="K922" s="21" t="s">
        <v>235</v>
      </c>
    </row>
    <row r="923" spans="1:11">
      <c r="A923" s="10">
        <v>43780</v>
      </c>
      <c r="B923" s="11" t="s">
        <v>9</v>
      </c>
      <c r="C923" s="11">
        <v>5100816</v>
      </c>
      <c r="D923" s="11" t="s">
        <v>235</v>
      </c>
      <c r="E923" s="11" t="s">
        <v>12</v>
      </c>
      <c r="F923" s="11">
        <v>29.58</v>
      </c>
      <c r="G923" s="11">
        <v>542862170</v>
      </c>
      <c r="H923" s="11">
        <v>3</v>
      </c>
      <c r="I923" s="11">
        <f>SalesData[[#This Row],[Price]]*SalesData[[#This Row],[Quantity]]</f>
        <v>88.74</v>
      </c>
      <c r="J923" s="11" t="str">
        <f t="shared" si="14"/>
        <v>Low</v>
      </c>
      <c r="K923" s="21" t="s">
        <v>235</v>
      </c>
    </row>
    <row r="924" spans="1:11">
      <c r="A924" s="10">
        <v>43770</v>
      </c>
      <c r="B924" s="11" t="s">
        <v>9</v>
      </c>
      <c r="C924" s="11">
        <v>5100816</v>
      </c>
      <c r="D924" s="11" t="s">
        <v>235</v>
      </c>
      <c r="E924" s="11" t="s">
        <v>12</v>
      </c>
      <c r="F924" s="11">
        <v>29.58</v>
      </c>
      <c r="G924" s="11">
        <v>542862170</v>
      </c>
      <c r="H924" s="11">
        <v>3</v>
      </c>
      <c r="I924" s="11">
        <f>SalesData[[#This Row],[Price]]*SalesData[[#This Row],[Quantity]]</f>
        <v>88.74</v>
      </c>
      <c r="J924" s="11" t="str">
        <f t="shared" si="14"/>
        <v>Low</v>
      </c>
      <c r="K924" s="21" t="s">
        <v>235</v>
      </c>
    </row>
    <row r="925" spans="1:11">
      <c r="A925" s="10">
        <v>43783</v>
      </c>
      <c r="B925" s="11" t="s">
        <v>9</v>
      </c>
      <c r="C925" s="11">
        <v>5100816</v>
      </c>
      <c r="D925" s="11" t="s">
        <v>235</v>
      </c>
      <c r="E925" s="11" t="s">
        <v>12</v>
      </c>
      <c r="F925" s="11">
        <v>29.58</v>
      </c>
      <c r="G925" s="11">
        <v>516700842</v>
      </c>
      <c r="H925" s="11">
        <v>5</v>
      </c>
      <c r="I925" s="11">
        <f>SalesData[[#This Row],[Price]]*SalesData[[#This Row],[Quantity]]</f>
        <v>147.89999999999998</v>
      </c>
      <c r="J925" s="11" t="str">
        <f t="shared" si="14"/>
        <v>Low</v>
      </c>
      <c r="K925" s="21" t="s">
        <v>235</v>
      </c>
    </row>
    <row r="926" spans="1:11">
      <c r="A926" s="10">
        <v>43781</v>
      </c>
      <c r="B926" s="11" t="s">
        <v>9</v>
      </c>
      <c r="C926" s="11">
        <v>5100816</v>
      </c>
      <c r="D926" s="11" t="s">
        <v>235</v>
      </c>
      <c r="E926" s="11" t="s">
        <v>12</v>
      </c>
      <c r="F926" s="11">
        <v>29.58</v>
      </c>
      <c r="G926" s="11">
        <v>543764380</v>
      </c>
      <c r="H926" s="11">
        <v>4</v>
      </c>
      <c r="I926" s="11">
        <f>SalesData[[#This Row],[Price]]*SalesData[[#This Row],[Quantity]]</f>
        <v>118.32</v>
      </c>
      <c r="J926" s="11" t="str">
        <f t="shared" si="14"/>
        <v>Low</v>
      </c>
      <c r="K926" s="21" t="s">
        <v>235</v>
      </c>
    </row>
    <row r="927" spans="1:11">
      <c r="A927" s="10">
        <v>43781</v>
      </c>
      <c r="B927" s="11" t="s">
        <v>9</v>
      </c>
      <c r="C927" s="11">
        <v>5100816</v>
      </c>
      <c r="D927" s="11" t="s">
        <v>235</v>
      </c>
      <c r="E927" s="11" t="s">
        <v>12</v>
      </c>
      <c r="F927" s="11">
        <v>29.58</v>
      </c>
      <c r="G927" s="11">
        <v>519306775</v>
      </c>
      <c r="H927" s="11">
        <v>1</v>
      </c>
      <c r="I927" s="11">
        <f>SalesData[[#This Row],[Price]]*SalesData[[#This Row],[Quantity]]</f>
        <v>29.58</v>
      </c>
      <c r="J927" s="11" t="str">
        <f t="shared" si="14"/>
        <v>Low</v>
      </c>
      <c r="K927" s="21" t="s">
        <v>235</v>
      </c>
    </row>
    <row r="928" spans="1:11">
      <c r="A928" s="10">
        <v>43780</v>
      </c>
      <c r="B928" s="11" t="s">
        <v>9</v>
      </c>
      <c r="C928" s="11">
        <v>4500770</v>
      </c>
      <c r="D928" s="11" t="s">
        <v>54</v>
      </c>
      <c r="E928" s="11" t="s">
        <v>55</v>
      </c>
      <c r="F928" s="11">
        <v>29.16</v>
      </c>
      <c r="G928" s="11">
        <v>566285354</v>
      </c>
      <c r="H928" s="11">
        <v>5</v>
      </c>
      <c r="I928" s="11">
        <f>SalesData[[#This Row],[Price]]*SalesData[[#This Row],[Quantity]]</f>
        <v>145.80000000000001</v>
      </c>
      <c r="J928" s="11" t="str">
        <f t="shared" si="14"/>
        <v>Low</v>
      </c>
      <c r="K928" s="21" t="s">
        <v>292</v>
      </c>
    </row>
    <row r="929" spans="1:11">
      <c r="A929" s="10">
        <v>43782</v>
      </c>
      <c r="B929" s="11" t="s">
        <v>9</v>
      </c>
      <c r="C929" s="11">
        <v>5300343</v>
      </c>
      <c r="D929" s="11" t="s">
        <v>235</v>
      </c>
      <c r="E929" s="11" t="s">
        <v>65</v>
      </c>
      <c r="F929" s="11">
        <v>28.29</v>
      </c>
      <c r="G929" s="11">
        <v>514758545</v>
      </c>
      <c r="H929" s="11">
        <v>1</v>
      </c>
      <c r="I929" s="11">
        <f>SalesData[[#This Row],[Price]]*SalesData[[#This Row],[Quantity]]</f>
        <v>28.29</v>
      </c>
      <c r="J929" s="11" t="str">
        <f t="shared" si="14"/>
        <v>Low</v>
      </c>
      <c r="K929" s="21" t="s">
        <v>235</v>
      </c>
    </row>
    <row r="930" spans="1:11">
      <c r="A930" s="10">
        <v>43777</v>
      </c>
      <c r="B930" s="11" t="s">
        <v>9</v>
      </c>
      <c r="C930" s="11">
        <v>5400640</v>
      </c>
      <c r="D930" s="11" t="s">
        <v>235</v>
      </c>
      <c r="E930" s="11" t="s">
        <v>235</v>
      </c>
      <c r="F930" s="11">
        <v>28.29</v>
      </c>
      <c r="G930" s="11">
        <v>526175596</v>
      </c>
      <c r="H930" s="11">
        <v>4</v>
      </c>
      <c r="I930" s="11">
        <f>SalesData[[#This Row],[Price]]*SalesData[[#This Row],[Quantity]]</f>
        <v>113.16</v>
      </c>
      <c r="J930" s="11" t="str">
        <f t="shared" si="14"/>
        <v>Low</v>
      </c>
      <c r="K930" s="21" t="s">
        <v>235</v>
      </c>
    </row>
    <row r="931" spans="1:11">
      <c r="A931" s="10">
        <v>43776</v>
      </c>
      <c r="B931" s="11" t="s">
        <v>9</v>
      </c>
      <c r="C931" s="11">
        <v>9200550</v>
      </c>
      <c r="D931" s="11" t="s">
        <v>225</v>
      </c>
      <c r="E931" s="11" t="s">
        <v>235</v>
      </c>
      <c r="F931" s="11">
        <v>28.29</v>
      </c>
      <c r="G931" s="11">
        <v>513287237</v>
      </c>
      <c r="H931" s="11">
        <v>1</v>
      </c>
      <c r="I931" s="11">
        <f>SalesData[[#This Row],[Price]]*SalesData[[#This Row],[Quantity]]</f>
        <v>28.29</v>
      </c>
      <c r="J931" s="11" t="str">
        <f t="shared" si="14"/>
        <v>Low</v>
      </c>
      <c r="K931" s="21" t="s">
        <v>291</v>
      </c>
    </row>
    <row r="932" spans="1:11">
      <c r="A932" s="10">
        <v>43775</v>
      </c>
      <c r="B932" s="11" t="s">
        <v>9</v>
      </c>
      <c r="C932" s="11">
        <v>8800494</v>
      </c>
      <c r="D932" s="11" t="s">
        <v>142</v>
      </c>
      <c r="E932" s="11" t="s">
        <v>144</v>
      </c>
      <c r="F932" s="11">
        <v>28</v>
      </c>
      <c r="G932" s="11">
        <v>514960497</v>
      </c>
      <c r="H932" s="11">
        <v>5</v>
      </c>
      <c r="I932" s="11">
        <f>SalesData[[#This Row],[Price]]*SalesData[[#This Row],[Quantity]]</f>
        <v>140</v>
      </c>
      <c r="J932" s="11" t="str">
        <f t="shared" si="14"/>
        <v>Low</v>
      </c>
      <c r="K932" s="21" t="s">
        <v>290</v>
      </c>
    </row>
    <row r="933" spans="1:11">
      <c r="A933" s="10">
        <v>43772</v>
      </c>
      <c r="B933" s="11" t="s">
        <v>9</v>
      </c>
      <c r="C933" s="11">
        <v>12000021</v>
      </c>
      <c r="D933" s="11" t="s">
        <v>235</v>
      </c>
      <c r="E933" s="11" t="s">
        <v>128</v>
      </c>
      <c r="F933" s="11">
        <v>25.71</v>
      </c>
      <c r="G933" s="11">
        <v>512560016</v>
      </c>
      <c r="H933" s="11">
        <v>4</v>
      </c>
      <c r="I933" s="11">
        <f>SalesData[[#This Row],[Price]]*SalesData[[#This Row],[Quantity]]</f>
        <v>102.84</v>
      </c>
      <c r="J933" s="11" t="str">
        <f t="shared" si="14"/>
        <v>Low</v>
      </c>
      <c r="K933" s="21" t="s">
        <v>235</v>
      </c>
    </row>
    <row r="934" spans="1:11">
      <c r="A934" s="10">
        <v>43774</v>
      </c>
      <c r="B934" s="11" t="s">
        <v>9</v>
      </c>
      <c r="C934" s="11">
        <v>12000021</v>
      </c>
      <c r="D934" s="11" t="s">
        <v>235</v>
      </c>
      <c r="E934" s="11" t="s">
        <v>128</v>
      </c>
      <c r="F934" s="11">
        <v>25.71</v>
      </c>
      <c r="G934" s="11">
        <v>537129970</v>
      </c>
      <c r="H934" s="11">
        <v>1</v>
      </c>
      <c r="I934" s="11">
        <f>SalesData[[#This Row],[Price]]*SalesData[[#This Row],[Quantity]]</f>
        <v>25.71</v>
      </c>
      <c r="J934" s="11" t="str">
        <f t="shared" si="14"/>
        <v>Low</v>
      </c>
      <c r="K934" s="21" t="s">
        <v>235</v>
      </c>
    </row>
    <row r="935" spans="1:11">
      <c r="A935" s="10">
        <v>43770</v>
      </c>
      <c r="B935" s="11" t="s">
        <v>9</v>
      </c>
      <c r="C935" s="11">
        <v>10900305</v>
      </c>
      <c r="D935" s="11" t="s">
        <v>202</v>
      </c>
      <c r="E935" s="11" t="s">
        <v>203</v>
      </c>
      <c r="F935" s="11">
        <v>25.71</v>
      </c>
      <c r="G935" s="11">
        <v>542413122</v>
      </c>
      <c r="H935" s="11">
        <v>5</v>
      </c>
      <c r="I935" s="11">
        <f>SalesData[[#This Row],[Price]]*SalesData[[#This Row],[Quantity]]</f>
        <v>128.55000000000001</v>
      </c>
      <c r="J935" s="11" t="str">
        <f t="shared" si="14"/>
        <v>Low</v>
      </c>
      <c r="K935" s="21" t="s">
        <v>292</v>
      </c>
    </row>
    <row r="936" spans="1:11">
      <c r="A936" s="10">
        <v>43772</v>
      </c>
      <c r="B936" s="11" t="s">
        <v>9</v>
      </c>
      <c r="C936" s="11">
        <v>53300006</v>
      </c>
      <c r="D936" s="11" t="s">
        <v>235</v>
      </c>
      <c r="E936" s="11" t="s">
        <v>229</v>
      </c>
      <c r="F936" s="11">
        <v>25.71</v>
      </c>
      <c r="G936" s="11">
        <v>566299901</v>
      </c>
      <c r="H936" s="11">
        <v>3</v>
      </c>
      <c r="I936" s="11">
        <f>SalesData[[#This Row],[Price]]*SalesData[[#This Row],[Quantity]]</f>
        <v>77.13</v>
      </c>
      <c r="J936" s="11" t="str">
        <f t="shared" si="14"/>
        <v>Low</v>
      </c>
      <c r="K936" s="21" t="s">
        <v>235</v>
      </c>
    </row>
    <row r="937" spans="1:11">
      <c r="A937" s="10">
        <v>43778</v>
      </c>
      <c r="B937" s="11" t="s">
        <v>9</v>
      </c>
      <c r="C937" s="11">
        <v>4803186</v>
      </c>
      <c r="D937" s="11" t="s">
        <v>33</v>
      </c>
      <c r="E937" s="11" t="s">
        <v>232</v>
      </c>
      <c r="F937" s="11">
        <v>25.71</v>
      </c>
      <c r="G937" s="11">
        <v>566303036</v>
      </c>
      <c r="H937" s="11">
        <v>1</v>
      </c>
      <c r="I937" s="11">
        <f>SalesData[[#This Row],[Price]]*SalesData[[#This Row],[Quantity]]</f>
        <v>25.71</v>
      </c>
      <c r="J937" s="11" t="str">
        <f t="shared" si="14"/>
        <v>Low</v>
      </c>
      <c r="K937" s="21" t="s">
        <v>290</v>
      </c>
    </row>
    <row r="938" spans="1:11">
      <c r="A938" s="10">
        <v>43780</v>
      </c>
      <c r="B938" s="11" t="s">
        <v>9</v>
      </c>
      <c r="C938" s="11">
        <v>52900057</v>
      </c>
      <c r="D938" s="11" t="s">
        <v>83</v>
      </c>
      <c r="E938" s="11" t="s">
        <v>84</v>
      </c>
      <c r="F938" s="11">
        <v>25.56</v>
      </c>
      <c r="G938" s="11">
        <v>559972189</v>
      </c>
      <c r="H938" s="11">
        <v>1</v>
      </c>
      <c r="I938" s="11">
        <f>SalesData[[#This Row],[Price]]*SalesData[[#This Row],[Quantity]]</f>
        <v>25.56</v>
      </c>
      <c r="J938" s="11" t="str">
        <f t="shared" si="14"/>
        <v>Low</v>
      </c>
      <c r="K938" s="21" t="s">
        <v>296</v>
      </c>
    </row>
    <row r="939" spans="1:11">
      <c r="A939" s="10">
        <v>43777</v>
      </c>
      <c r="B939" s="11" t="s">
        <v>9</v>
      </c>
      <c r="C939" s="11">
        <v>7203227</v>
      </c>
      <c r="D939" s="11" t="s">
        <v>235</v>
      </c>
      <c r="E939" s="11" t="s">
        <v>110</v>
      </c>
      <c r="F939" s="11">
        <v>25.48</v>
      </c>
      <c r="G939" s="11">
        <v>513368484</v>
      </c>
      <c r="H939" s="11">
        <v>3</v>
      </c>
      <c r="I939" s="11">
        <f>SalesData[[#This Row],[Price]]*SalesData[[#This Row],[Quantity]]</f>
        <v>76.44</v>
      </c>
      <c r="J939" s="11" t="str">
        <f t="shared" si="14"/>
        <v>Low</v>
      </c>
      <c r="K939" s="21" t="s">
        <v>235</v>
      </c>
    </row>
    <row r="940" spans="1:11">
      <c r="A940" s="10">
        <v>43772</v>
      </c>
      <c r="B940" s="11" t="s">
        <v>9</v>
      </c>
      <c r="C940" s="11">
        <v>26500502</v>
      </c>
      <c r="D940" s="11" t="s">
        <v>235</v>
      </c>
      <c r="E940" s="11" t="s">
        <v>177</v>
      </c>
      <c r="F940" s="11">
        <v>25.48</v>
      </c>
      <c r="G940" s="11">
        <v>512400502</v>
      </c>
      <c r="H940" s="11">
        <v>1</v>
      </c>
      <c r="I940" s="11">
        <f>SalesData[[#This Row],[Price]]*SalesData[[#This Row],[Quantity]]</f>
        <v>25.48</v>
      </c>
      <c r="J940" s="11" t="str">
        <f t="shared" si="14"/>
        <v>Low</v>
      </c>
      <c r="K940" s="21" t="s">
        <v>235</v>
      </c>
    </row>
    <row r="941" spans="1:11">
      <c r="A941" s="10">
        <v>43774</v>
      </c>
      <c r="B941" s="11" t="s">
        <v>9</v>
      </c>
      <c r="C941" s="11">
        <v>7600028</v>
      </c>
      <c r="D941" s="11" t="s">
        <v>235</v>
      </c>
      <c r="E941" s="11" t="s">
        <v>136</v>
      </c>
      <c r="F941" s="11">
        <v>24.63</v>
      </c>
      <c r="G941" s="11">
        <v>515477009</v>
      </c>
      <c r="H941" s="11">
        <v>3</v>
      </c>
      <c r="I941" s="11">
        <f>SalesData[[#This Row],[Price]]*SalesData[[#This Row],[Quantity]]</f>
        <v>73.89</v>
      </c>
      <c r="J941" s="11" t="str">
        <f t="shared" si="14"/>
        <v>Low</v>
      </c>
      <c r="K941" s="21" t="s">
        <v>235</v>
      </c>
    </row>
    <row r="942" spans="1:11">
      <c r="A942" s="10">
        <v>43773</v>
      </c>
      <c r="B942" s="11" t="s">
        <v>9</v>
      </c>
      <c r="C942" s="11">
        <v>8800929</v>
      </c>
      <c r="D942" s="11" t="s">
        <v>142</v>
      </c>
      <c r="E942" s="11" t="s">
        <v>158</v>
      </c>
      <c r="F942" s="11">
        <v>24.43</v>
      </c>
      <c r="G942" s="11">
        <v>566251570</v>
      </c>
      <c r="H942" s="11">
        <v>2</v>
      </c>
      <c r="I942" s="11">
        <f>SalesData[[#This Row],[Price]]*SalesData[[#This Row],[Quantity]]</f>
        <v>48.86</v>
      </c>
      <c r="J942" s="11" t="str">
        <f t="shared" si="14"/>
        <v>Low</v>
      </c>
      <c r="K942" s="21" t="s">
        <v>290</v>
      </c>
    </row>
    <row r="943" spans="1:11">
      <c r="A943" s="10">
        <v>43777</v>
      </c>
      <c r="B943" s="11" t="s">
        <v>9</v>
      </c>
      <c r="C943" s="11">
        <v>3800548</v>
      </c>
      <c r="D943" s="11" t="s">
        <v>157</v>
      </c>
      <c r="E943" s="11" t="s">
        <v>149</v>
      </c>
      <c r="F943" s="11">
        <v>23.12</v>
      </c>
      <c r="G943" s="11">
        <v>529541682</v>
      </c>
      <c r="H943" s="11">
        <v>5</v>
      </c>
      <c r="I943" s="11">
        <f>SalesData[[#This Row],[Price]]*SalesData[[#This Row],[Quantity]]</f>
        <v>115.60000000000001</v>
      </c>
      <c r="J943" s="11" t="str">
        <f t="shared" si="14"/>
        <v>Low</v>
      </c>
      <c r="K943" s="21" t="s">
        <v>292</v>
      </c>
    </row>
    <row r="944" spans="1:11">
      <c r="A944" s="10">
        <v>43778</v>
      </c>
      <c r="B944" s="11" t="s">
        <v>9</v>
      </c>
      <c r="C944" s="11">
        <v>4804660</v>
      </c>
      <c r="D944" s="11" t="s">
        <v>33</v>
      </c>
      <c r="E944" s="11" t="s">
        <v>12</v>
      </c>
      <c r="F944" s="11">
        <v>23.05</v>
      </c>
      <c r="G944" s="11">
        <v>528133044</v>
      </c>
      <c r="H944" s="11">
        <v>5</v>
      </c>
      <c r="I944" s="11">
        <f>SalesData[[#This Row],[Price]]*SalesData[[#This Row],[Quantity]]</f>
        <v>115.25</v>
      </c>
      <c r="J944" s="11" t="str">
        <f t="shared" si="14"/>
        <v>Low</v>
      </c>
      <c r="K944" s="21" t="s">
        <v>290</v>
      </c>
    </row>
    <row r="945" spans="1:11">
      <c r="A945" s="10">
        <v>43773</v>
      </c>
      <c r="B945" s="11" t="s">
        <v>9</v>
      </c>
      <c r="C945" s="11">
        <v>23800024</v>
      </c>
      <c r="D945" s="11" t="s">
        <v>235</v>
      </c>
      <c r="E945" s="11" t="s">
        <v>171</v>
      </c>
      <c r="F945" s="11">
        <v>22.91</v>
      </c>
      <c r="G945" s="11">
        <v>551570636</v>
      </c>
      <c r="H945" s="11">
        <v>5</v>
      </c>
      <c r="I945" s="11">
        <f>SalesData[[#This Row],[Price]]*SalesData[[#This Row],[Quantity]]</f>
        <v>114.55</v>
      </c>
      <c r="J945" s="11" t="str">
        <f t="shared" si="14"/>
        <v>Low</v>
      </c>
      <c r="K945" s="21" t="s">
        <v>235</v>
      </c>
    </row>
    <row r="946" spans="1:11">
      <c r="A946" s="10">
        <v>43781</v>
      </c>
      <c r="B946" s="11" t="s">
        <v>9</v>
      </c>
      <c r="C946" s="11">
        <v>3100553</v>
      </c>
      <c r="D946" s="11" t="s">
        <v>50</v>
      </c>
      <c r="E946" s="11" t="s">
        <v>180</v>
      </c>
      <c r="F946" s="11">
        <v>22.91</v>
      </c>
      <c r="G946" s="11">
        <v>566304295</v>
      </c>
      <c r="H946" s="11">
        <v>3</v>
      </c>
      <c r="I946" s="11">
        <f>SalesData[[#This Row],[Price]]*SalesData[[#This Row],[Quantity]]</f>
        <v>68.73</v>
      </c>
      <c r="J946" s="11" t="str">
        <f t="shared" si="14"/>
        <v>Low</v>
      </c>
      <c r="K946" s="21" t="s">
        <v>292</v>
      </c>
    </row>
    <row r="947" spans="1:11">
      <c r="A947" s="10">
        <v>43782</v>
      </c>
      <c r="B947" s="11" t="s">
        <v>9</v>
      </c>
      <c r="C947" s="11">
        <v>5100768</v>
      </c>
      <c r="D947" s="11" t="s">
        <v>235</v>
      </c>
      <c r="E947" s="11" t="s">
        <v>13</v>
      </c>
      <c r="F947" s="11">
        <v>29.86</v>
      </c>
      <c r="G947" s="11">
        <v>518621167</v>
      </c>
      <c r="H947" s="11">
        <v>4</v>
      </c>
      <c r="I947" s="11">
        <f>SalesData[[#This Row],[Price]]*SalesData[[#This Row],[Quantity]]</f>
        <v>119.44</v>
      </c>
      <c r="J947" s="11" t="str">
        <f t="shared" si="14"/>
        <v>Low</v>
      </c>
      <c r="K947" s="21" t="s">
        <v>235</v>
      </c>
    </row>
    <row r="948" spans="1:11">
      <c r="A948" s="10">
        <v>43779</v>
      </c>
      <c r="B948" s="11" t="s">
        <v>9</v>
      </c>
      <c r="C948" s="11">
        <v>4804295</v>
      </c>
      <c r="D948" s="11" t="s">
        <v>33</v>
      </c>
      <c r="E948" s="11" t="s">
        <v>12</v>
      </c>
      <c r="F948" s="11">
        <v>22.8</v>
      </c>
      <c r="G948" s="11">
        <v>543676870</v>
      </c>
      <c r="H948" s="11">
        <v>3</v>
      </c>
      <c r="I948" s="11">
        <f>SalesData[[#This Row],[Price]]*SalesData[[#This Row],[Quantity]]</f>
        <v>68.400000000000006</v>
      </c>
      <c r="J948" s="11" t="str">
        <f t="shared" si="14"/>
        <v>Low</v>
      </c>
      <c r="K948" s="21" t="s">
        <v>290</v>
      </c>
    </row>
    <row r="949" spans="1:11">
      <c r="A949" s="10">
        <v>43773</v>
      </c>
      <c r="B949" s="11" t="s">
        <v>9</v>
      </c>
      <c r="C949" s="11">
        <v>4804295</v>
      </c>
      <c r="D949" s="11" t="s">
        <v>33</v>
      </c>
      <c r="E949" s="11" t="s">
        <v>12</v>
      </c>
      <c r="F949" s="11">
        <v>22.8</v>
      </c>
      <c r="G949" s="11">
        <v>566285490</v>
      </c>
      <c r="H949" s="11">
        <v>2</v>
      </c>
      <c r="I949" s="11">
        <f>SalesData[[#This Row],[Price]]*SalesData[[#This Row],[Quantity]]</f>
        <v>45.6</v>
      </c>
      <c r="J949" s="11" t="str">
        <f t="shared" si="14"/>
        <v>Low</v>
      </c>
      <c r="K949" s="21" t="s">
        <v>290</v>
      </c>
    </row>
    <row r="950" spans="1:11">
      <c r="A950" s="10">
        <v>43777</v>
      </c>
      <c r="B950" s="11" t="s">
        <v>9</v>
      </c>
      <c r="C950" s="11">
        <v>4804295</v>
      </c>
      <c r="D950" s="11" t="s">
        <v>33</v>
      </c>
      <c r="E950" s="11" t="s">
        <v>12</v>
      </c>
      <c r="F950" s="11">
        <v>22.8</v>
      </c>
      <c r="G950" s="11">
        <v>519178326</v>
      </c>
      <c r="H950" s="11">
        <v>2</v>
      </c>
      <c r="I950" s="11">
        <f>SalesData[[#This Row],[Price]]*SalesData[[#This Row],[Quantity]]</f>
        <v>45.6</v>
      </c>
      <c r="J950" s="11" t="str">
        <f t="shared" si="14"/>
        <v>Low</v>
      </c>
      <c r="K950" s="21" t="s">
        <v>290</v>
      </c>
    </row>
    <row r="951" spans="1:11">
      <c r="A951" s="10">
        <v>43784</v>
      </c>
      <c r="B951" s="11" t="s">
        <v>9</v>
      </c>
      <c r="C951" s="11">
        <v>4804295</v>
      </c>
      <c r="D951" s="11" t="s">
        <v>33</v>
      </c>
      <c r="E951" s="11" t="s">
        <v>12</v>
      </c>
      <c r="F951" s="11">
        <v>22.8</v>
      </c>
      <c r="G951" s="11">
        <v>565620308</v>
      </c>
      <c r="H951" s="11">
        <v>1</v>
      </c>
      <c r="I951" s="11">
        <f>SalesData[[#This Row],[Price]]*SalesData[[#This Row],[Quantity]]</f>
        <v>22.8</v>
      </c>
      <c r="J951" s="11" t="str">
        <f t="shared" si="14"/>
        <v>Low</v>
      </c>
      <c r="K951" s="21" t="s">
        <v>290</v>
      </c>
    </row>
    <row r="952" spans="1:11">
      <c r="A952" s="10">
        <v>43782</v>
      </c>
      <c r="B952" s="11" t="s">
        <v>9</v>
      </c>
      <c r="C952" s="11">
        <v>4804295</v>
      </c>
      <c r="D952" s="11" t="s">
        <v>33</v>
      </c>
      <c r="E952" s="11" t="s">
        <v>12</v>
      </c>
      <c r="F952" s="11">
        <v>22.8</v>
      </c>
      <c r="G952" s="11">
        <v>512758377</v>
      </c>
      <c r="H952" s="11">
        <v>4</v>
      </c>
      <c r="I952" s="11">
        <f>SalesData[[#This Row],[Price]]*SalesData[[#This Row],[Quantity]]</f>
        <v>91.2</v>
      </c>
      <c r="J952" s="11" t="str">
        <f t="shared" si="14"/>
        <v>Low</v>
      </c>
      <c r="K952" s="21" t="s">
        <v>290</v>
      </c>
    </row>
    <row r="953" spans="1:11">
      <c r="A953" s="10">
        <v>43770</v>
      </c>
      <c r="B953" s="11" t="s">
        <v>9</v>
      </c>
      <c r="C953" s="11">
        <v>4804295</v>
      </c>
      <c r="D953" s="11" t="s">
        <v>33</v>
      </c>
      <c r="E953" s="11" t="s">
        <v>12</v>
      </c>
      <c r="F953" s="11">
        <v>22.8</v>
      </c>
      <c r="G953" s="11">
        <v>519438960</v>
      </c>
      <c r="H953" s="11">
        <v>4</v>
      </c>
      <c r="I953" s="11">
        <f>SalesData[[#This Row],[Price]]*SalesData[[#This Row],[Quantity]]</f>
        <v>91.2</v>
      </c>
      <c r="J953" s="11" t="str">
        <f t="shared" si="14"/>
        <v>Low</v>
      </c>
      <c r="K953" s="21" t="s">
        <v>290</v>
      </c>
    </row>
    <row r="954" spans="1:11">
      <c r="A954" s="10">
        <v>43771</v>
      </c>
      <c r="B954" s="11" t="s">
        <v>9</v>
      </c>
      <c r="C954" s="11">
        <v>4804295</v>
      </c>
      <c r="D954" s="11" t="s">
        <v>33</v>
      </c>
      <c r="E954" s="11" t="s">
        <v>12</v>
      </c>
      <c r="F954" s="11">
        <v>22.8</v>
      </c>
      <c r="G954" s="11">
        <v>547542934</v>
      </c>
      <c r="H954" s="11">
        <v>1</v>
      </c>
      <c r="I954" s="11">
        <f>SalesData[[#This Row],[Price]]*SalesData[[#This Row],[Quantity]]</f>
        <v>22.8</v>
      </c>
      <c r="J954" s="11" t="str">
        <f t="shared" si="14"/>
        <v>Low</v>
      </c>
      <c r="K954" s="21" t="s">
        <v>290</v>
      </c>
    </row>
    <row r="955" spans="1:11">
      <c r="A955" s="10">
        <v>43775</v>
      </c>
      <c r="B955" s="11" t="s">
        <v>9</v>
      </c>
      <c r="C955" s="11">
        <v>4804295</v>
      </c>
      <c r="D955" s="11" t="s">
        <v>33</v>
      </c>
      <c r="E955" s="11" t="s">
        <v>12</v>
      </c>
      <c r="F955" s="11">
        <v>22.8</v>
      </c>
      <c r="G955" s="11">
        <v>561325622</v>
      </c>
      <c r="H955" s="11">
        <v>3</v>
      </c>
      <c r="I955" s="11">
        <f>SalesData[[#This Row],[Price]]*SalesData[[#This Row],[Quantity]]</f>
        <v>68.400000000000006</v>
      </c>
      <c r="J955" s="11" t="str">
        <f t="shared" si="14"/>
        <v>Low</v>
      </c>
      <c r="K955" s="21" t="s">
        <v>290</v>
      </c>
    </row>
    <row r="956" spans="1:11">
      <c r="A956" s="10">
        <v>43772</v>
      </c>
      <c r="B956" s="11" t="s">
        <v>9</v>
      </c>
      <c r="C956" s="11">
        <v>4804295</v>
      </c>
      <c r="D956" s="11" t="s">
        <v>33</v>
      </c>
      <c r="E956" s="11" t="s">
        <v>12</v>
      </c>
      <c r="F956" s="11">
        <v>22.8</v>
      </c>
      <c r="G956" s="11">
        <v>512495144</v>
      </c>
      <c r="H956" s="11">
        <v>1</v>
      </c>
      <c r="I956" s="11">
        <f>SalesData[[#This Row],[Price]]*SalesData[[#This Row],[Quantity]]</f>
        <v>22.8</v>
      </c>
      <c r="J956" s="11" t="str">
        <f t="shared" si="14"/>
        <v>Low</v>
      </c>
      <c r="K956" s="21" t="s">
        <v>290</v>
      </c>
    </row>
    <row r="957" spans="1:11">
      <c r="A957" s="10">
        <v>43781</v>
      </c>
      <c r="B957" s="11" t="s">
        <v>9</v>
      </c>
      <c r="C957" s="11">
        <v>11600160</v>
      </c>
      <c r="D957" s="11" t="s">
        <v>24</v>
      </c>
      <c r="E957" s="11" t="s">
        <v>152</v>
      </c>
      <c r="F957" s="11">
        <v>22.2</v>
      </c>
      <c r="G957" s="11">
        <v>565960289</v>
      </c>
      <c r="H957" s="11">
        <v>5</v>
      </c>
      <c r="I957" s="11">
        <f>SalesData[[#This Row],[Price]]*SalesData[[#This Row],[Quantity]]</f>
        <v>111</v>
      </c>
      <c r="J957" s="11" t="str">
        <f t="shared" si="14"/>
        <v>Low</v>
      </c>
      <c r="K957" s="21" t="s">
        <v>291</v>
      </c>
    </row>
    <row r="958" spans="1:11">
      <c r="A958" s="10">
        <v>43771</v>
      </c>
      <c r="B958" s="11" t="s">
        <v>9</v>
      </c>
      <c r="C958" s="11">
        <v>14400024</v>
      </c>
      <c r="D958" s="11" t="s">
        <v>235</v>
      </c>
      <c r="E958" s="11" t="s">
        <v>12</v>
      </c>
      <c r="F958" s="11">
        <v>21.85</v>
      </c>
      <c r="G958" s="11">
        <v>554425254</v>
      </c>
      <c r="H958" s="11">
        <v>1</v>
      </c>
      <c r="I958" s="11">
        <f>SalesData[[#This Row],[Price]]*SalesData[[#This Row],[Quantity]]</f>
        <v>21.85</v>
      </c>
      <c r="J958" s="11" t="str">
        <f t="shared" si="14"/>
        <v>Low</v>
      </c>
      <c r="K958" s="21" t="s">
        <v>235</v>
      </c>
    </row>
    <row r="959" spans="1:11">
      <c r="A959" s="10">
        <v>43770</v>
      </c>
      <c r="B959" s="11" t="s">
        <v>9</v>
      </c>
      <c r="C959" s="11">
        <v>4400597</v>
      </c>
      <c r="D959" s="11" t="s">
        <v>150</v>
      </c>
      <c r="E959" s="11" t="s">
        <v>151</v>
      </c>
      <c r="F959" s="11">
        <v>21.6</v>
      </c>
      <c r="G959" s="11">
        <v>515838774</v>
      </c>
      <c r="H959" s="11">
        <v>5</v>
      </c>
      <c r="I959" s="11">
        <f>SalesData[[#This Row],[Price]]*SalesData[[#This Row],[Quantity]]</f>
        <v>108</v>
      </c>
      <c r="J959" s="11" t="str">
        <f t="shared" si="14"/>
        <v>Low</v>
      </c>
      <c r="K959" s="21" t="s">
        <v>292</v>
      </c>
    </row>
    <row r="960" spans="1:11">
      <c r="A960" s="10">
        <v>43779</v>
      </c>
      <c r="B960" s="11" t="s">
        <v>9</v>
      </c>
      <c r="C960" s="11">
        <v>4802235</v>
      </c>
      <c r="D960" s="11" t="s">
        <v>33</v>
      </c>
      <c r="E960" s="11" t="s">
        <v>39</v>
      </c>
      <c r="F960" s="11">
        <v>20.57</v>
      </c>
      <c r="G960" s="11">
        <v>553781327</v>
      </c>
      <c r="H960" s="11">
        <v>1</v>
      </c>
      <c r="I960" s="11">
        <f>SalesData[[#This Row],[Price]]*SalesData[[#This Row],[Quantity]]</f>
        <v>20.57</v>
      </c>
      <c r="J960" s="11" t="str">
        <f t="shared" si="14"/>
        <v>Low</v>
      </c>
      <c r="K960" s="21" t="s">
        <v>290</v>
      </c>
    </row>
    <row r="961" spans="1:11">
      <c r="A961" s="10">
        <v>43784</v>
      </c>
      <c r="B961" s="11" t="s">
        <v>9</v>
      </c>
      <c r="C961" s="11">
        <v>19600402</v>
      </c>
      <c r="D961" s="11" t="s">
        <v>235</v>
      </c>
      <c r="E961" s="11" t="s">
        <v>235</v>
      </c>
      <c r="F961" s="11">
        <v>20.57</v>
      </c>
      <c r="G961" s="11">
        <v>553706204</v>
      </c>
      <c r="H961" s="11">
        <v>4</v>
      </c>
      <c r="I961" s="11">
        <f>SalesData[[#This Row],[Price]]*SalesData[[#This Row],[Quantity]]</f>
        <v>82.28</v>
      </c>
      <c r="J961" s="11" t="str">
        <f t="shared" si="14"/>
        <v>Low</v>
      </c>
      <c r="K961" s="21" t="s">
        <v>235</v>
      </c>
    </row>
    <row r="962" spans="1:11">
      <c r="A962" s="10">
        <v>43773</v>
      </c>
      <c r="B962" s="11" t="s">
        <v>9</v>
      </c>
      <c r="C962" s="11">
        <v>5300639</v>
      </c>
      <c r="D962" s="11" t="s">
        <v>235</v>
      </c>
      <c r="E962" s="11" t="s">
        <v>149</v>
      </c>
      <c r="F962" s="11">
        <v>20.34</v>
      </c>
      <c r="G962" s="11">
        <v>518291241</v>
      </c>
      <c r="H962" s="11">
        <v>2</v>
      </c>
      <c r="I962" s="11">
        <f>SalesData[[#This Row],[Price]]*SalesData[[#This Row],[Quantity]]</f>
        <v>40.68</v>
      </c>
      <c r="J962" s="11" t="str">
        <f t="shared" ref="J962:J994" si="15">IF(F962&lt;500, "Low", IF(F962&lt;1500, "Medium", "High"))</f>
        <v>Low</v>
      </c>
      <c r="K962" s="21" t="s">
        <v>235</v>
      </c>
    </row>
    <row r="963" spans="1:11">
      <c r="A963" s="10">
        <v>43777</v>
      </c>
      <c r="B963" s="11" t="s">
        <v>9</v>
      </c>
      <c r="C963" s="11">
        <v>11200505</v>
      </c>
      <c r="D963" s="11" t="s">
        <v>134</v>
      </c>
      <c r="E963" s="11" t="s">
        <v>12</v>
      </c>
      <c r="F963" s="11">
        <v>20.05</v>
      </c>
      <c r="G963" s="11">
        <v>566302712</v>
      </c>
      <c r="H963" s="11">
        <v>1</v>
      </c>
      <c r="I963" s="11">
        <f>SalesData[[#This Row],[Price]]*SalesData[[#This Row],[Quantity]]</f>
        <v>20.05</v>
      </c>
      <c r="J963" s="11" t="str">
        <f t="shared" si="15"/>
        <v>Low</v>
      </c>
      <c r="K963" s="21" t="s">
        <v>292</v>
      </c>
    </row>
    <row r="964" spans="1:11">
      <c r="A964" s="10">
        <v>43773</v>
      </c>
      <c r="B964" s="11" t="s">
        <v>9</v>
      </c>
      <c r="C964" s="11">
        <v>17302281</v>
      </c>
      <c r="D964" s="11" t="s">
        <v>235</v>
      </c>
      <c r="E964" s="11" t="s">
        <v>147</v>
      </c>
      <c r="F964" s="11">
        <v>18.87</v>
      </c>
      <c r="G964" s="11">
        <v>556936796</v>
      </c>
      <c r="H964" s="11">
        <v>4</v>
      </c>
      <c r="I964" s="11">
        <f>SalesData[[#This Row],[Price]]*SalesData[[#This Row],[Quantity]]</f>
        <v>75.48</v>
      </c>
      <c r="J964" s="11" t="str">
        <f t="shared" si="15"/>
        <v>Low</v>
      </c>
      <c r="K964" s="21" t="s">
        <v>235</v>
      </c>
    </row>
    <row r="965" spans="1:11">
      <c r="A965" s="10">
        <v>43780</v>
      </c>
      <c r="B965" s="11" t="s">
        <v>9</v>
      </c>
      <c r="C965" s="11">
        <v>23000067</v>
      </c>
      <c r="D965" s="11" t="s">
        <v>235</v>
      </c>
      <c r="E965" s="11" t="s">
        <v>145</v>
      </c>
      <c r="F965" s="11">
        <v>18.53</v>
      </c>
      <c r="G965" s="11">
        <v>540801209</v>
      </c>
      <c r="H965" s="11">
        <v>5</v>
      </c>
      <c r="I965" s="11">
        <f>SalesData[[#This Row],[Price]]*SalesData[[#This Row],[Quantity]]</f>
        <v>92.65</v>
      </c>
      <c r="J965" s="11" t="str">
        <f t="shared" si="15"/>
        <v>Low</v>
      </c>
      <c r="K965" s="21" t="s">
        <v>235</v>
      </c>
    </row>
    <row r="966" spans="1:11">
      <c r="A966" s="10">
        <v>43780</v>
      </c>
      <c r="B966" s="11" t="s">
        <v>9</v>
      </c>
      <c r="C966" s="11">
        <v>16700794</v>
      </c>
      <c r="D966" s="11" t="s">
        <v>146</v>
      </c>
      <c r="E966" s="11" t="s">
        <v>147</v>
      </c>
      <c r="F966" s="11">
        <v>17.25</v>
      </c>
      <c r="G966" s="11">
        <v>546273062</v>
      </c>
      <c r="H966" s="11">
        <v>4</v>
      </c>
      <c r="I966" s="11">
        <f>SalesData[[#This Row],[Price]]*SalesData[[#This Row],[Quantity]]</f>
        <v>69</v>
      </c>
      <c r="J966" s="11" t="str">
        <f t="shared" si="15"/>
        <v>Low</v>
      </c>
      <c r="K966" s="21" t="s">
        <v>293</v>
      </c>
    </row>
    <row r="967" spans="1:11">
      <c r="A967" s="10">
        <v>43775</v>
      </c>
      <c r="B967" s="11" t="s">
        <v>9</v>
      </c>
      <c r="C967" s="11">
        <v>17302272</v>
      </c>
      <c r="D967" s="11" t="s">
        <v>235</v>
      </c>
      <c r="E967" s="11" t="s">
        <v>235</v>
      </c>
      <c r="F967" s="11">
        <v>17.149999999999999</v>
      </c>
      <c r="G967" s="11">
        <v>563472655</v>
      </c>
      <c r="H967" s="11">
        <v>2</v>
      </c>
      <c r="I967" s="11">
        <f>SalesData[[#This Row],[Price]]*SalesData[[#This Row],[Quantity]]</f>
        <v>34.299999999999997</v>
      </c>
      <c r="J967" s="11" t="str">
        <f t="shared" si="15"/>
        <v>Low</v>
      </c>
      <c r="K967" s="21" t="s">
        <v>235</v>
      </c>
    </row>
    <row r="968" spans="1:11">
      <c r="A968" s="10">
        <v>43776</v>
      </c>
      <c r="B968" s="11" t="s">
        <v>9</v>
      </c>
      <c r="C968" s="11">
        <v>27900017</v>
      </c>
      <c r="D968" s="11" t="s">
        <v>235</v>
      </c>
      <c r="E968" s="11" t="s">
        <v>67</v>
      </c>
      <c r="F968" s="11">
        <v>16.73</v>
      </c>
      <c r="G968" s="11">
        <v>512455622</v>
      </c>
      <c r="H968" s="11">
        <v>5</v>
      </c>
      <c r="I968" s="11">
        <f>SalesData[[#This Row],[Price]]*SalesData[[#This Row],[Quantity]]</f>
        <v>83.65</v>
      </c>
      <c r="J968" s="11" t="str">
        <f t="shared" si="15"/>
        <v>Low</v>
      </c>
      <c r="K968" s="21" t="s">
        <v>235</v>
      </c>
    </row>
    <row r="969" spans="1:11">
      <c r="A969" s="10">
        <v>43782</v>
      </c>
      <c r="B969" s="11" t="s">
        <v>9</v>
      </c>
      <c r="C969" s="11">
        <v>9200640</v>
      </c>
      <c r="D969" s="11" t="s">
        <v>225</v>
      </c>
      <c r="E969" s="11" t="s">
        <v>226</v>
      </c>
      <c r="F969" s="11">
        <v>16.41</v>
      </c>
      <c r="G969" s="11">
        <v>512431922</v>
      </c>
      <c r="H969" s="11">
        <v>3</v>
      </c>
      <c r="I969" s="11">
        <f>SalesData[[#This Row],[Price]]*SalesData[[#This Row],[Quantity]]</f>
        <v>49.230000000000004</v>
      </c>
      <c r="J969" s="11" t="str">
        <f t="shared" si="15"/>
        <v>Low</v>
      </c>
      <c r="K969" s="21" t="s">
        <v>291</v>
      </c>
    </row>
    <row r="970" spans="1:11">
      <c r="A970" s="10">
        <v>43778</v>
      </c>
      <c r="B970" s="11" t="s">
        <v>9</v>
      </c>
      <c r="C970" s="11">
        <v>29501135</v>
      </c>
      <c r="D970" s="11" t="s">
        <v>235</v>
      </c>
      <c r="E970" s="11" t="s">
        <v>235</v>
      </c>
      <c r="F970" s="11">
        <v>16.350000000000001</v>
      </c>
      <c r="G970" s="11">
        <v>565142238</v>
      </c>
      <c r="H970" s="11">
        <v>3</v>
      </c>
      <c r="I970" s="11">
        <f>SalesData[[#This Row],[Price]]*SalesData[[#This Row],[Quantity]]</f>
        <v>49.050000000000004</v>
      </c>
      <c r="J970" s="11" t="str">
        <f t="shared" si="15"/>
        <v>Low</v>
      </c>
      <c r="K970" s="21" t="s">
        <v>235</v>
      </c>
    </row>
    <row r="971" spans="1:11">
      <c r="A971" s="10">
        <v>43776</v>
      </c>
      <c r="B971" s="11" t="s">
        <v>9</v>
      </c>
      <c r="C971" s="11">
        <v>4400189</v>
      </c>
      <c r="D971" s="11" t="s">
        <v>150</v>
      </c>
      <c r="E971" s="11" t="s">
        <v>170</v>
      </c>
      <c r="F971" s="11">
        <v>15.42</v>
      </c>
      <c r="G971" s="11">
        <v>521492716</v>
      </c>
      <c r="H971" s="11">
        <v>3</v>
      </c>
      <c r="I971" s="11">
        <f>SalesData[[#This Row],[Price]]*SalesData[[#This Row],[Quantity]]</f>
        <v>46.26</v>
      </c>
      <c r="J971" s="11" t="str">
        <f t="shared" si="15"/>
        <v>Low</v>
      </c>
      <c r="K971" s="21" t="s">
        <v>292</v>
      </c>
    </row>
    <row r="972" spans="1:11">
      <c r="A972" s="10">
        <v>43776</v>
      </c>
      <c r="B972" s="11" t="s">
        <v>9</v>
      </c>
      <c r="C972" s="11">
        <v>5301029</v>
      </c>
      <c r="D972" s="11" t="s">
        <v>235</v>
      </c>
      <c r="E972" s="11" t="s">
        <v>96</v>
      </c>
      <c r="F972" s="11">
        <v>14.39</v>
      </c>
      <c r="G972" s="11">
        <v>565730826</v>
      </c>
      <c r="H972" s="11">
        <v>2</v>
      </c>
      <c r="I972" s="11">
        <f>SalesData[[#This Row],[Price]]*SalesData[[#This Row],[Quantity]]</f>
        <v>28.78</v>
      </c>
      <c r="J972" s="11" t="str">
        <f t="shared" si="15"/>
        <v>Low</v>
      </c>
      <c r="K972" s="21" t="s">
        <v>235</v>
      </c>
    </row>
    <row r="973" spans="1:11">
      <c r="A973" s="10">
        <v>43773</v>
      </c>
      <c r="B973" s="11" t="s">
        <v>9</v>
      </c>
      <c r="C973" s="11">
        <v>19700000</v>
      </c>
      <c r="D973" s="11" t="s">
        <v>235</v>
      </c>
      <c r="E973" s="11" t="s">
        <v>218</v>
      </c>
      <c r="F973" s="11">
        <v>13.3</v>
      </c>
      <c r="G973" s="11">
        <v>564564914</v>
      </c>
      <c r="H973" s="11">
        <v>5</v>
      </c>
      <c r="I973" s="11">
        <f>SalesData[[#This Row],[Price]]*SalesData[[#This Row],[Quantity]]</f>
        <v>66.5</v>
      </c>
      <c r="J973" s="11" t="str">
        <f t="shared" si="15"/>
        <v>Low</v>
      </c>
      <c r="K973" s="21" t="s">
        <v>235</v>
      </c>
    </row>
    <row r="974" spans="1:11">
      <c r="A974" s="10">
        <v>43771</v>
      </c>
      <c r="B974" s="11" t="s">
        <v>9</v>
      </c>
      <c r="C974" s="11">
        <v>32400857</v>
      </c>
      <c r="D974" s="11" t="s">
        <v>235</v>
      </c>
      <c r="E974" s="11" t="s">
        <v>119</v>
      </c>
      <c r="F974" s="11">
        <v>12.87</v>
      </c>
      <c r="G974" s="11">
        <v>514701561</v>
      </c>
      <c r="H974" s="11">
        <v>3</v>
      </c>
      <c r="I974" s="11">
        <f>SalesData[[#This Row],[Price]]*SalesData[[#This Row],[Quantity]]</f>
        <v>38.61</v>
      </c>
      <c r="J974" s="11" t="str">
        <f t="shared" si="15"/>
        <v>Low</v>
      </c>
      <c r="K974" s="21" t="s">
        <v>235</v>
      </c>
    </row>
    <row r="975" spans="1:11">
      <c r="A975" s="10">
        <v>43775</v>
      </c>
      <c r="B975" s="11" t="s">
        <v>9</v>
      </c>
      <c r="C975" s="11">
        <v>5301434</v>
      </c>
      <c r="D975" s="11" t="s">
        <v>235</v>
      </c>
      <c r="E975" s="11" t="s">
        <v>203</v>
      </c>
      <c r="F975" s="11">
        <v>12.84</v>
      </c>
      <c r="G975" s="11">
        <v>555566178</v>
      </c>
      <c r="H975" s="11">
        <v>5</v>
      </c>
      <c r="I975" s="11">
        <f>SalesData[[#This Row],[Price]]*SalesData[[#This Row],[Quantity]]</f>
        <v>64.2</v>
      </c>
      <c r="J975" s="11" t="str">
        <f t="shared" si="15"/>
        <v>Low</v>
      </c>
      <c r="K975" s="21" t="s">
        <v>235</v>
      </c>
    </row>
    <row r="976" spans="1:11">
      <c r="A976" s="10">
        <v>43770</v>
      </c>
      <c r="B976" s="11" t="s">
        <v>9</v>
      </c>
      <c r="C976" s="11">
        <v>32403915</v>
      </c>
      <c r="D976" s="11" t="s">
        <v>235</v>
      </c>
      <c r="E976" s="11" t="s">
        <v>119</v>
      </c>
      <c r="F976" s="11">
        <v>12.74</v>
      </c>
      <c r="G976" s="11">
        <v>532276067</v>
      </c>
      <c r="H976" s="11">
        <v>5</v>
      </c>
      <c r="I976" s="11">
        <f>SalesData[[#This Row],[Price]]*SalesData[[#This Row],[Quantity]]</f>
        <v>63.7</v>
      </c>
      <c r="J976" s="11" t="str">
        <f t="shared" si="15"/>
        <v>Low</v>
      </c>
      <c r="K976" s="21" t="s">
        <v>235</v>
      </c>
    </row>
    <row r="977" spans="1:11">
      <c r="A977" s="10">
        <v>43772</v>
      </c>
      <c r="B977" s="11" t="s">
        <v>9</v>
      </c>
      <c r="C977" s="11">
        <v>32402010</v>
      </c>
      <c r="D977" s="11" t="s">
        <v>235</v>
      </c>
      <c r="E977" s="11" t="s">
        <v>235</v>
      </c>
      <c r="F977" s="11">
        <v>12.47</v>
      </c>
      <c r="G977" s="11">
        <v>514701561</v>
      </c>
      <c r="H977" s="11">
        <v>5</v>
      </c>
      <c r="I977" s="11">
        <f>SalesData[[#This Row],[Price]]*SalesData[[#This Row],[Quantity]]</f>
        <v>62.35</v>
      </c>
      <c r="J977" s="11" t="str">
        <f t="shared" si="15"/>
        <v>Low</v>
      </c>
      <c r="K977" s="21" t="s">
        <v>235</v>
      </c>
    </row>
    <row r="978" spans="1:11">
      <c r="A978" s="10">
        <v>43779</v>
      </c>
      <c r="B978" s="11" t="s">
        <v>9</v>
      </c>
      <c r="C978" s="11">
        <v>32402010</v>
      </c>
      <c r="D978" s="11" t="s">
        <v>235</v>
      </c>
      <c r="E978" s="11" t="s">
        <v>235</v>
      </c>
      <c r="F978" s="11">
        <v>12.47</v>
      </c>
      <c r="G978" s="11">
        <v>514701561</v>
      </c>
      <c r="H978" s="11">
        <v>5</v>
      </c>
      <c r="I978" s="11">
        <f>SalesData[[#This Row],[Price]]*SalesData[[#This Row],[Quantity]]</f>
        <v>62.35</v>
      </c>
      <c r="J978" s="11" t="str">
        <f t="shared" si="15"/>
        <v>Low</v>
      </c>
      <c r="K978" s="21" t="s">
        <v>235</v>
      </c>
    </row>
    <row r="979" spans="1:11">
      <c r="A979" s="10">
        <v>43784</v>
      </c>
      <c r="B979" s="11" t="s">
        <v>9</v>
      </c>
      <c r="C979" s="11">
        <v>19700163</v>
      </c>
      <c r="D979" s="11" t="s">
        <v>235</v>
      </c>
      <c r="E979" s="11" t="s">
        <v>173</v>
      </c>
      <c r="F979" s="11">
        <v>11.56</v>
      </c>
      <c r="G979" s="11">
        <v>566298552</v>
      </c>
      <c r="H979" s="11">
        <v>5</v>
      </c>
      <c r="I979" s="11">
        <f>SalesData[[#This Row],[Price]]*SalesData[[#This Row],[Quantity]]</f>
        <v>57.800000000000004</v>
      </c>
      <c r="J979" s="11" t="str">
        <f t="shared" si="15"/>
        <v>Low</v>
      </c>
      <c r="K979" s="21" t="s">
        <v>235</v>
      </c>
    </row>
    <row r="980" spans="1:11">
      <c r="A980" s="10">
        <v>43781</v>
      </c>
      <c r="B980" s="11" t="s">
        <v>9</v>
      </c>
      <c r="C980" s="11">
        <v>19700126</v>
      </c>
      <c r="D980" s="11" t="s">
        <v>235</v>
      </c>
      <c r="E980" s="11" t="s">
        <v>191</v>
      </c>
      <c r="F980" s="11">
        <v>11.02</v>
      </c>
      <c r="G980" s="11">
        <v>530337676</v>
      </c>
      <c r="H980" s="11">
        <v>5</v>
      </c>
      <c r="I980" s="11">
        <f>SalesData[[#This Row],[Price]]*SalesData[[#This Row],[Quantity]]</f>
        <v>55.099999999999994</v>
      </c>
      <c r="J980" s="11" t="str">
        <f t="shared" si="15"/>
        <v>Low</v>
      </c>
      <c r="K980" s="21" t="s">
        <v>235</v>
      </c>
    </row>
    <row r="981" spans="1:11">
      <c r="A981" s="10">
        <v>43774</v>
      </c>
      <c r="B981" s="11" t="s">
        <v>9</v>
      </c>
      <c r="C981" s="11">
        <v>26205694</v>
      </c>
      <c r="D981" s="11" t="s">
        <v>235</v>
      </c>
      <c r="E981" s="11" t="s">
        <v>230</v>
      </c>
      <c r="F981" s="11">
        <v>10.81</v>
      </c>
      <c r="G981" s="11">
        <v>517829094</v>
      </c>
      <c r="H981" s="11">
        <v>1</v>
      </c>
      <c r="I981" s="11">
        <f>SalesData[[#This Row],[Price]]*SalesData[[#This Row],[Quantity]]</f>
        <v>10.81</v>
      </c>
      <c r="J981" s="11" t="str">
        <f t="shared" si="15"/>
        <v>Low</v>
      </c>
      <c r="K981" s="21" t="s">
        <v>235</v>
      </c>
    </row>
    <row r="982" spans="1:11">
      <c r="A982" s="10">
        <v>43782</v>
      </c>
      <c r="B982" s="11" t="s">
        <v>9</v>
      </c>
      <c r="C982" s="11">
        <v>26026508</v>
      </c>
      <c r="D982" s="11" t="s">
        <v>235</v>
      </c>
      <c r="E982" s="11" t="s">
        <v>235</v>
      </c>
      <c r="F982" s="11">
        <v>10.31</v>
      </c>
      <c r="G982" s="11">
        <v>513323240</v>
      </c>
      <c r="H982" s="11">
        <v>4</v>
      </c>
      <c r="I982" s="11">
        <f>SalesData[[#This Row],[Price]]*SalesData[[#This Row],[Quantity]]</f>
        <v>41.24</v>
      </c>
      <c r="J982" s="11" t="str">
        <f t="shared" si="15"/>
        <v>Low</v>
      </c>
      <c r="K982" s="21" t="s">
        <v>235</v>
      </c>
    </row>
    <row r="983" spans="1:11">
      <c r="A983" s="10">
        <v>43774</v>
      </c>
      <c r="B983" s="11" t="s">
        <v>9</v>
      </c>
      <c r="C983" s="11">
        <v>29501031</v>
      </c>
      <c r="D983" s="11" t="s">
        <v>235</v>
      </c>
      <c r="E983" s="11" t="s">
        <v>235</v>
      </c>
      <c r="F983" s="11">
        <v>9.27</v>
      </c>
      <c r="G983" s="11">
        <v>566123263</v>
      </c>
      <c r="H983" s="11">
        <v>3</v>
      </c>
      <c r="I983" s="11">
        <f>SalesData[[#This Row],[Price]]*SalesData[[#This Row],[Quantity]]</f>
        <v>27.81</v>
      </c>
      <c r="J983" s="11" t="str">
        <f t="shared" si="15"/>
        <v>Low</v>
      </c>
      <c r="K983" s="21" t="s">
        <v>235</v>
      </c>
    </row>
    <row r="984" spans="1:11">
      <c r="A984" s="10">
        <v>43781</v>
      </c>
      <c r="B984" s="11" t="s">
        <v>9</v>
      </c>
      <c r="C984" s="11">
        <v>26006231</v>
      </c>
      <c r="D984" s="11" t="s">
        <v>235</v>
      </c>
      <c r="E984" s="11" t="s">
        <v>235</v>
      </c>
      <c r="F984" s="11">
        <v>9.24</v>
      </c>
      <c r="G984" s="11">
        <v>551134677</v>
      </c>
      <c r="H984" s="11">
        <v>1</v>
      </c>
      <c r="I984" s="11">
        <f>SalesData[[#This Row],[Price]]*SalesData[[#This Row],[Quantity]]</f>
        <v>9.24</v>
      </c>
      <c r="J984" s="11" t="str">
        <f t="shared" si="15"/>
        <v>Low</v>
      </c>
      <c r="K984" s="21" t="s">
        <v>235</v>
      </c>
    </row>
    <row r="985" spans="1:11">
      <c r="A985" s="10">
        <v>43771</v>
      </c>
      <c r="B985" s="11" t="s">
        <v>9</v>
      </c>
      <c r="C985" s="11">
        <v>53700000</v>
      </c>
      <c r="D985" s="11" t="s">
        <v>235</v>
      </c>
      <c r="E985" s="11" t="s">
        <v>214</v>
      </c>
      <c r="F985" s="11">
        <v>9.23</v>
      </c>
      <c r="G985" s="11">
        <v>515421827</v>
      </c>
      <c r="H985" s="11">
        <v>2</v>
      </c>
      <c r="I985" s="11">
        <f>SalesData[[#This Row],[Price]]*SalesData[[#This Row],[Quantity]]</f>
        <v>18.46</v>
      </c>
      <c r="J985" s="11" t="str">
        <f t="shared" si="15"/>
        <v>Low</v>
      </c>
      <c r="K985" s="21" t="s">
        <v>235</v>
      </c>
    </row>
    <row r="986" spans="1:11">
      <c r="A986" s="10">
        <v>43778</v>
      </c>
      <c r="B986" s="11" t="s">
        <v>9</v>
      </c>
      <c r="C986" s="11">
        <v>4802159</v>
      </c>
      <c r="D986" s="11" t="s">
        <v>33</v>
      </c>
      <c r="E986" s="11" t="s">
        <v>39</v>
      </c>
      <c r="F986" s="11">
        <v>8.49</v>
      </c>
      <c r="G986" s="11">
        <v>566290767</v>
      </c>
      <c r="H986" s="11">
        <v>5</v>
      </c>
      <c r="I986" s="11">
        <f>SalesData[[#This Row],[Price]]*SalesData[[#This Row],[Quantity]]</f>
        <v>42.45</v>
      </c>
      <c r="J986" s="11" t="str">
        <f t="shared" si="15"/>
        <v>Low</v>
      </c>
      <c r="K986" s="21" t="s">
        <v>290</v>
      </c>
    </row>
    <row r="987" spans="1:11">
      <c r="A987" s="10">
        <v>43780</v>
      </c>
      <c r="B987" s="11" t="s">
        <v>9</v>
      </c>
      <c r="C987" s="11">
        <v>24100193</v>
      </c>
      <c r="D987" s="11" t="s">
        <v>235</v>
      </c>
      <c r="E987" s="11" t="s">
        <v>235</v>
      </c>
      <c r="F987" s="11">
        <v>7.75</v>
      </c>
      <c r="G987" s="11">
        <v>518340557</v>
      </c>
      <c r="H987" s="11">
        <v>3</v>
      </c>
      <c r="I987" s="11">
        <f>SalesData[[#This Row],[Price]]*SalesData[[#This Row],[Quantity]]</f>
        <v>23.25</v>
      </c>
      <c r="J987" s="11" t="str">
        <f t="shared" si="15"/>
        <v>Low</v>
      </c>
      <c r="K987" s="21" t="s">
        <v>235</v>
      </c>
    </row>
    <row r="988" spans="1:11">
      <c r="A988" s="10">
        <v>43771</v>
      </c>
      <c r="B988" s="11" t="s">
        <v>9</v>
      </c>
      <c r="C988" s="11">
        <v>10700973</v>
      </c>
      <c r="D988" s="11" t="s">
        <v>235</v>
      </c>
      <c r="E988" s="11" t="s">
        <v>135</v>
      </c>
      <c r="F988" s="11">
        <v>7.72</v>
      </c>
      <c r="G988" s="11">
        <v>513393358</v>
      </c>
      <c r="H988" s="11">
        <v>1</v>
      </c>
      <c r="I988" s="11">
        <f>SalesData[[#This Row],[Price]]*SalesData[[#This Row],[Quantity]]</f>
        <v>7.72</v>
      </c>
      <c r="J988" s="11" t="str">
        <f t="shared" si="15"/>
        <v>Low</v>
      </c>
      <c r="K988" s="21" t="s">
        <v>235</v>
      </c>
    </row>
    <row r="989" spans="1:11">
      <c r="A989" s="10">
        <v>43775</v>
      </c>
      <c r="B989" s="11" t="s">
        <v>9</v>
      </c>
      <c r="C989" s="11">
        <v>3701338</v>
      </c>
      <c r="D989" s="11" t="s">
        <v>57</v>
      </c>
      <c r="E989" s="11" t="s">
        <v>227</v>
      </c>
      <c r="F989" s="11">
        <v>7.72</v>
      </c>
      <c r="G989" s="11">
        <v>551827172</v>
      </c>
      <c r="H989" s="11">
        <v>1</v>
      </c>
      <c r="I989" s="11">
        <f>SalesData[[#This Row],[Price]]*SalesData[[#This Row],[Quantity]]</f>
        <v>7.72</v>
      </c>
      <c r="J989" s="11" t="str">
        <f t="shared" si="15"/>
        <v>Low</v>
      </c>
      <c r="K989" s="21" t="s">
        <v>292</v>
      </c>
    </row>
    <row r="990" spans="1:11">
      <c r="A990" s="10">
        <v>43779</v>
      </c>
      <c r="B990" s="11" t="s">
        <v>9</v>
      </c>
      <c r="C990" s="11">
        <v>5300871</v>
      </c>
      <c r="D990" s="11" t="s">
        <v>235</v>
      </c>
      <c r="E990" s="11" t="s">
        <v>70</v>
      </c>
      <c r="F990" s="11">
        <v>7.7</v>
      </c>
      <c r="G990" s="11">
        <v>512498743</v>
      </c>
      <c r="H990" s="11">
        <v>2</v>
      </c>
      <c r="I990" s="11">
        <f>SalesData[[#This Row],[Price]]*SalesData[[#This Row],[Quantity]]</f>
        <v>15.4</v>
      </c>
      <c r="J990" s="11" t="str">
        <f t="shared" si="15"/>
        <v>Low</v>
      </c>
      <c r="K990" s="21" t="s">
        <v>235</v>
      </c>
    </row>
    <row r="991" spans="1:11">
      <c r="A991" s="10">
        <v>43779</v>
      </c>
      <c r="B991" s="11" t="s">
        <v>9</v>
      </c>
      <c r="C991" s="11">
        <v>6301402</v>
      </c>
      <c r="D991" s="11" t="s">
        <v>120</v>
      </c>
      <c r="E991" s="11" t="s">
        <v>121</v>
      </c>
      <c r="F991" s="11">
        <v>7.7</v>
      </c>
      <c r="G991" s="11">
        <v>552014184</v>
      </c>
      <c r="H991" s="11">
        <v>3</v>
      </c>
      <c r="I991" s="11">
        <f>SalesData[[#This Row],[Price]]*SalesData[[#This Row],[Quantity]]</f>
        <v>23.1</v>
      </c>
      <c r="J991" s="11" t="str">
        <f t="shared" si="15"/>
        <v>Low</v>
      </c>
      <c r="K991" s="21" t="s">
        <v>292</v>
      </c>
    </row>
    <row r="992" spans="1:11">
      <c r="A992" s="10">
        <v>43783</v>
      </c>
      <c r="B992" s="11" t="s">
        <v>9</v>
      </c>
      <c r="C992" s="11">
        <v>6301402</v>
      </c>
      <c r="D992" s="11" t="s">
        <v>120</v>
      </c>
      <c r="E992" s="11" t="s">
        <v>121</v>
      </c>
      <c r="F992" s="11">
        <v>7.7</v>
      </c>
      <c r="G992" s="11">
        <v>564353163</v>
      </c>
      <c r="H992" s="11">
        <v>4</v>
      </c>
      <c r="I992" s="11">
        <f>SalesData[[#This Row],[Price]]*SalesData[[#This Row],[Quantity]]</f>
        <v>30.8</v>
      </c>
      <c r="J992" s="11" t="str">
        <f t="shared" si="15"/>
        <v>Low</v>
      </c>
      <c r="K992" s="21" t="s">
        <v>292</v>
      </c>
    </row>
    <row r="993" spans="1:11">
      <c r="A993" s="10">
        <v>43778</v>
      </c>
      <c r="B993" s="11" t="s">
        <v>9</v>
      </c>
      <c r="C993" s="11">
        <v>15901903</v>
      </c>
      <c r="D993" s="11" t="s">
        <v>235</v>
      </c>
      <c r="E993" s="11" t="s">
        <v>107</v>
      </c>
      <c r="F993" s="11">
        <v>4.09</v>
      </c>
      <c r="G993" s="11">
        <v>557948316</v>
      </c>
      <c r="H993" s="11">
        <v>4</v>
      </c>
      <c r="I993" s="11">
        <f>SalesData[[#This Row],[Price]]*SalesData[[#This Row],[Quantity]]</f>
        <v>16.36</v>
      </c>
      <c r="J993" s="11" t="str">
        <f t="shared" si="15"/>
        <v>Low</v>
      </c>
      <c r="K993" s="21" t="s">
        <v>235</v>
      </c>
    </row>
    <row r="994" spans="1:11">
      <c r="A994" s="10">
        <v>43776</v>
      </c>
      <c r="B994" s="11" t="s">
        <v>9</v>
      </c>
      <c r="C994" s="11">
        <v>18001338</v>
      </c>
      <c r="D994" s="11" t="s">
        <v>235</v>
      </c>
      <c r="E994" s="11" t="s">
        <v>13</v>
      </c>
      <c r="F994" s="11">
        <v>3.84</v>
      </c>
      <c r="G994" s="11">
        <v>558463342</v>
      </c>
      <c r="H994" s="11">
        <v>3</v>
      </c>
      <c r="I994" s="11">
        <f>SalesData[[#This Row],[Price]]*SalesData[[#This Row],[Quantity]]</f>
        <v>11.52</v>
      </c>
      <c r="J994" s="19" t="str">
        <f t="shared" si="15"/>
        <v>Low</v>
      </c>
      <c r="K994" s="21" t="s">
        <v>235</v>
      </c>
    </row>
    <row r="995" spans="1:11">
      <c r="A995" s="11"/>
    </row>
    <row r="996" spans="1:11">
      <c r="A996" s="11"/>
    </row>
    <row r="997" spans="1:11">
      <c r="A997" s="11"/>
    </row>
    <row r="998" spans="1:11">
      <c r="A998" s="11"/>
    </row>
    <row r="999" spans="1:11">
      <c r="A999" s="11"/>
    </row>
    <row r="1000" spans="1:11">
      <c r="A1000" s="11"/>
    </row>
    <row r="1001" spans="1:11">
      <c r="A1001" s="1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073BB-80C9-4EB5-BBE1-1443668347FC}">
  <sheetPr codeName="Sheet3"/>
  <dimension ref="A1:J33"/>
  <sheetViews>
    <sheetView workbookViewId="0">
      <selection activeCell="J6" sqref="J6"/>
    </sheetView>
  </sheetViews>
  <sheetFormatPr defaultRowHeight="15"/>
  <cols>
    <col min="1" max="1" width="15.140625" customWidth="1"/>
    <col min="2" max="2" width="19.140625" style="7" bestFit="1" customWidth="1"/>
    <col min="4" max="4" width="30.5703125" bestFit="1" customWidth="1"/>
    <col min="5" max="5" width="12.5703125" bestFit="1" customWidth="1"/>
  </cols>
  <sheetData>
    <row r="1" spans="1:10" ht="18.75">
      <c r="A1" s="5" t="s">
        <v>248</v>
      </c>
      <c r="B1" s="6"/>
      <c r="C1" s="5"/>
      <c r="D1" s="5" t="s">
        <v>260</v>
      </c>
    </row>
    <row r="2" spans="1:10">
      <c r="A2" s="3" t="s">
        <v>236</v>
      </c>
      <c r="B2" s="13">
        <f>AVERAGE(SalesData[TotalPurchase])</f>
        <v>902.62854984894284</v>
      </c>
      <c r="D2" s="14" t="s">
        <v>261</v>
      </c>
      <c r="E2" s="15">
        <f>AVERAGEIFS(SalesData[TotalPurchase], SalesData[Brand], "apple")</f>
        <v>2416.278611111115</v>
      </c>
    </row>
    <row r="3" spans="1:10">
      <c r="A3" s="3" t="s">
        <v>238</v>
      </c>
      <c r="B3" s="13">
        <f>MEDIAN(SalesData[TotalPurchase])</f>
        <v>460.7</v>
      </c>
      <c r="C3" s="4"/>
      <c r="D3" s="3" t="s">
        <v>262</v>
      </c>
      <c r="E3" s="15">
        <f>AVERAGEIFS(SalesData[TotalPurchase], SalesData[Brand], "samsung")</f>
        <v>712.74636771300516</v>
      </c>
    </row>
    <row r="4" spans="1:10">
      <c r="A4" s="3" t="s">
        <v>239</v>
      </c>
      <c r="B4" s="13">
        <f>_xlfn.MODE.SNGL(SalesData[TotalPurchase])</f>
        <v>256.83999999999997</v>
      </c>
      <c r="C4" s="1"/>
      <c r="D4" s="14" t="s">
        <v>264</v>
      </c>
      <c r="E4" s="15">
        <f>_xlfn.T.TEST('AB test'!A3:A182,'AB test'!B3:B225,2,2)</f>
        <v>7.2667214709712541E-31</v>
      </c>
    </row>
    <row r="5" spans="1:10">
      <c r="A5" s="3" t="s">
        <v>240</v>
      </c>
      <c r="B5" s="13">
        <f>_xlfn.STDEV.P(SalesData[TotalPurchase])</f>
        <v>1264.4130300093068</v>
      </c>
    </row>
    <row r="6" spans="1:10" ht="18.75">
      <c r="A6" s="3" t="s">
        <v>241</v>
      </c>
      <c r="B6" s="13">
        <f>_xlfn.VAR.P(SalesData[TotalPurchase])</f>
        <v>1598740.310457316</v>
      </c>
      <c r="D6" s="5" t="s">
        <v>272</v>
      </c>
    </row>
    <row r="7" spans="1:10">
      <c r="A7" s="3" t="s">
        <v>242</v>
      </c>
      <c r="B7" s="13">
        <f>MIN(SalesData[TotalPurchase])</f>
        <v>7.72</v>
      </c>
      <c r="D7" s="17" t="s">
        <v>273</v>
      </c>
      <c r="E7" s="43"/>
      <c r="F7" s="44"/>
      <c r="G7" s="44"/>
      <c r="H7" s="44"/>
      <c r="I7" s="44"/>
      <c r="J7" s="45"/>
    </row>
    <row r="8" spans="1:10">
      <c r="A8" s="3" t="s">
        <v>243</v>
      </c>
      <c r="B8" s="13">
        <f>MAX(SalesData[TotalPurchase])</f>
        <v>9303.4500000000007</v>
      </c>
      <c r="D8" s="16" t="s">
        <v>274</v>
      </c>
      <c r="E8" s="16" t="s">
        <v>275</v>
      </c>
      <c r="F8" s="16" t="s">
        <v>276</v>
      </c>
      <c r="G8" s="16" t="s">
        <v>277</v>
      </c>
      <c r="H8" s="16" t="s">
        <v>241</v>
      </c>
      <c r="I8" s="46"/>
      <c r="J8" s="47"/>
    </row>
    <row r="9" spans="1:10">
      <c r="A9" s="3" t="s">
        <v>244</v>
      </c>
      <c r="B9" s="13">
        <f>MAX(SalesData[TotalPurchase]) - MIN(SalesData[TotalPurchase])</f>
        <v>9295.7300000000014</v>
      </c>
      <c r="D9" s="14" t="s">
        <v>266</v>
      </c>
      <c r="E9" s="15">
        <v>180</v>
      </c>
      <c r="F9" s="15">
        <v>434930.15000000066</v>
      </c>
      <c r="G9" s="15">
        <v>2416.278611111115</v>
      </c>
      <c r="H9" s="15">
        <v>3641453.8954589372</v>
      </c>
      <c r="I9" s="48"/>
      <c r="J9" s="49"/>
    </row>
    <row r="10" spans="1:10">
      <c r="D10" s="14" t="s">
        <v>267</v>
      </c>
      <c r="E10" s="15">
        <v>223</v>
      </c>
      <c r="F10" s="15">
        <v>158942.44000000015</v>
      </c>
      <c r="G10" s="15">
        <v>712.74636771300516</v>
      </c>
      <c r="H10" s="15">
        <v>357099.77056827839</v>
      </c>
      <c r="I10" s="48"/>
      <c r="J10" s="49"/>
    </row>
    <row r="11" spans="1:10" ht="18.75">
      <c r="A11" s="5" t="s">
        <v>255</v>
      </c>
      <c r="D11" s="14" t="s">
        <v>271</v>
      </c>
      <c r="E11" s="15">
        <v>85</v>
      </c>
      <c r="F11" s="15">
        <v>39165.990000000013</v>
      </c>
      <c r="G11" s="15">
        <v>460.77635294117664</v>
      </c>
      <c r="H11" s="15">
        <v>152093.48605201673</v>
      </c>
      <c r="I11" s="50"/>
      <c r="J11" s="51"/>
    </row>
    <row r="12" spans="1:10" ht="18.75">
      <c r="A12" s="5" t="s">
        <v>256</v>
      </c>
      <c r="D12" s="40"/>
      <c r="E12" s="41"/>
      <c r="F12" s="41"/>
      <c r="G12" s="41"/>
      <c r="H12" s="41"/>
      <c r="I12" s="41"/>
      <c r="J12" s="42"/>
    </row>
    <row r="13" spans="1:10">
      <c r="A13" s="3" t="s">
        <v>250</v>
      </c>
      <c r="B13" s="13">
        <f>SLOPE(SalesData[TotalPurchase], SalesData[Price])</f>
        <v>3.3702370399090933</v>
      </c>
      <c r="D13" s="17" t="s">
        <v>278</v>
      </c>
      <c r="E13" s="43"/>
      <c r="F13" s="44"/>
      <c r="G13" s="44"/>
      <c r="H13" s="44"/>
      <c r="I13" s="44"/>
      <c r="J13" s="45"/>
    </row>
    <row r="14" spans="1:10">
      <c r="A14" s="3" t="s">
        <v>251</v>
      </c>
      <c r="B14" s="13">
        <f>INTERCEPT(SalesData[TotalPurchase], SalesData[Price])</f>
        <v>-66.863102657669856</v>
      </c>
      <c r="D14" s="16" t="s">
        <v>279</v>
      </c>
      <c r="E14" s="16" t="s">
        <v>280</v>
      </c>
      <c r="F14" s="16" t="s">
        <v>281</v>
      </c>
      <c r="G14" s="16" t="s">
        <v>282</v>
      </c>
      <c r="H14" s="16" t="s">
        <v>283</v>
      </c>
      <c r="I14" s="16" t="s">
        <v>284</v>
      </c>
      <c r="J14" s="16" t="s">
        <v>285</v>
      </c>
    </row>
    <row r="15" spans="1:10">
      <c r="A15" s="3" t="s">
        <v>252</v>
      </c>
      <c r="B15" s="13">
        <f>RSQ(SalesData[TotalPurchase], SalesData[Price])</f>
        <v>0.75866187024181331</v>
      </c>
      <c r="D15" s="14" t="s">
        <v>286</v>
      </c>
      <c r="E15" s="15">
        <v>361060721.50649714</v>
      </c>
      <c r="F15" s="15">
        <v>2</v>
      </c>
      <c r="G15" s="15">
        <v>180530360.75324857</v>
      </c>
      <c r="H15" s="15">
        <v>117.70465299874496</v>
      </c>
      <c r="I15" s="15">
        <v>2.1349509694722275E-42</v>
      </c>
      <c r="J15" s="15">
        <v>3.0143126477947368</v>
      </c>
    </row>
    <row r="16" spans="1:10" ht="30">
      <c r="A16" s="3" t="s">
        <v>253</v>
      </c>
      <c r="B16" s="13">
        <f>CORREL(SalesData[TotalPurchase], SalesData[Price])</f>
        <v>0.8710119805386225</v>
      </c>
      <c r="D16" s="14" t="s">
        <v>287</v>
      </c>
      <c r="E16" s="15">
        <v>743872249.18167973</v>
      </c>
      <c r="F16" s="15">
        <v>485</v>
      </c>
      <c r="G16" s="15">
        <v>1533757.214807587</v>
      </c>
      <c r="H16" s="15"/>
      <c r="I16" s="15"/>
      <c r="J16" s="15"/>
    </row>
    <row r="17" spans="1:10" ht="30">
      <c r="A17" s="3" t="s">
        <v>254</v>
      </c>
      <c r="B17" s="13" t="str">
        <f>"y = "&amp;ROUND(B13,2)&amp;"x + "&amp;ROUND(B14,2)</f>
        <v>y = 3.37x + -66.86</v>
      </c>
      <c r="D17" s="14" t="s">
        <v>288</v>
      </c>
      <c r="E17" s="15">
        <v>1104932970.6881769</v>
      </c>
      <c r="F17" s="15">
        <v>487</v>
      </c>
      <c r="G17" s="15"/>
      <c r="H17" s="15"/>
      <c r="I17" s="15"/>
      <c r="J17" s="15"/>
    </row>
    <row r="33" spans="2:2">
      <c r="B33"/>
    </row>
  </sheetData>
  <mergeCells count="4">
    <mergeCell ref="D12:J12"/>
    <mergeCell ref="E7:J7"/>
    <mergeCell ref="I8:J11"/>
    <mergeCell ref="E13:J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8A2BF-D2AE-45C5-B3B6-F21AC64991B9}">
  <dimension ref="A1:K15"/>
  <sheetViews>
    <sheetView workbookViewId="0">
      <selection activeCell="A15" sqref="A15:C15"/>
    </sheetView>
  </sheetViews>
  <sheetFormatPr defaultRowHeight="15"/>
  <cols>
    <col min="1" max="1" width="12" bestFit="1" customWidth="1"/>
    <col min="3" max="3" width="12" bestFit="1" customWidth="1"/>
    <col min="7" max="7" width="12" bestFit="1" customWidth="1"/>
  </cols>
  <sheetData>
    <row r="1" spans="1:11" ht="30">
      <c r="A1" s="1" t="s">
        <v>299</v>
      </c>
      <c r="B1" s="1" t="s">
        <v>300</v>
      </c>
      <c r="C1" s="1" t="s">
        <v>301</v>
      </c>
      <c r="D1" s="1" t="s">
        <v>302</v>
      </c>
      <c r="E1" s="1" t="s">
        <v>303</v>
      </c>
      <c r="G1" s="25" t="s">
        <v>306</v>
      </c>
      <c r="H1" s="25" t="s">
        <v>307</v>
      </c>
      <c r="I1" s="25" t="s">
        <v>308</v>
      </c>
      <c r="J1" s="25" t="s">
        <v>309</v>
      </c>
      <c r="K1" s="2" t="s">
        <v>303</v>
      </c>
    </row>
    <row r="2" spans="1:11">
      <c r="A2" s="23" t="s">
        <v>290</v>
      </c>
      <c r="B2" s="23">
        <f>COUNTIFS(SalesData[MainCategory], "electronics", SalesData[PriceRange], "Low")</f>
        <v>425</v>
      </c>
      <c r="C2" s="23">
        <f>COUNTIFS(SalesData[MainCategory], "electronics", SalesData[PriceRange], "Medium")</f>
        <v>120</v>
      </c>
      <c r="D2" s="23">
        <f>COUNTIFS(SalesData[MainCategory], "electronics", SalesData[PriceRange], "High")</f>
        <v>10</v>
      </c>
      <c r="E2" s="23">
        <f>SUM(B2:D2)</f>
        <v>555</v>
      </c>
      <c r="G2" t="s">
        <v>290</v>
      </c>
      <c r="H2">
        <f>E2 * B$12 / $E$12</f>
        <v>466.13293051359517</v>
      </c>
      <c r="I2">
        <f>E2 * C$12 / $E$12</f>
        <v>82.160120845921455</v>
      </c>
      <c r="J2">
        <f>E2 * D$12 / $E$12</f>
        <v>6.7069486404833834</v>
      </c>
      <c r="K2">
        <f>SUM(H2:J2)</f>
        <v>555</v>
      </c>
    </row>
    <row r="3" spans="1:11">
      <c r="A3" t="s">
        <v>291</v>
      </c>
      <c r="B3">
        <f>COUNTIFS(SalesData[MainCategory], "computers", SalesData[PriceRange], "Low")</f>
        <v>24</v>
      </c>
      <c r="C3">
        <f>COUNTIFS(SalesData[MainCategory], "computers", SalesData[PriceRange], "Medium")</f>
        <v>10</v>
      </c>
      <c r="D3">
        <f>COUNTIFS(SalesData[MainCategory], "computers", SalesData[PriceRange], "High")</f>
        <v>1</v>
      </c>
      <c r="E3" s="23">
        <f t="shared" ref="E3:E11" si="0">SUM(B3:D3)</f>
        <v>35</v>
      </c>
      <c r="G3" t="s">
        <v>291</v>
      </c>
      <c r="H3">
        <f t="shared" ref="H3:H11" si="1">E3 * B$12 / $E$12</f>
        <v>29.395770392749245</v>
      </c>
      <c r="I3">
        <f t="shared" ref="I3:I11" si="2">E3 * C$12 / $E$12</f>
        <v>5.1812688821752264</v>
      </c>
      <c r="J3">
        <f t="shared" ref="J3:J11" si="3">E3 * D$12 / $E$12</f>
        <v>0.42296072507552868</v>
      </c>
      <c r="K3">
        <f t="shared" ref="K3:K11" si="4">SUM(H3:J3)</f>
        <v>35</v>
      </c>
    </row>
    <row r="4" spans="1:11">
      <c r="A4" t="s">
        <v>235</v>
      </c>
      <c r="B4">
        <f>COUNTIFS(SalesData[MainCategory], "Other", SalesData[PriceRange], "Low")</f>
        <v>253</v>
      </c>
      <c r="C4">
        <f>COUNTIFS(SalesData[MainCategory], "Other", SalesData[PriceRange], "Medium")</f>
        <v>12</v>
      </c>
      <c r="D4">
        <f>COUNTIFS(SalesData[MainCategory], "Other", SalesData[PriceRange], "High")</f>
        <v>1</v>
      </c>
      <c r="E4" s="23">
        <f t="shared" si="0"/>
        <v>266</v>
      </c>
      <c r="G4" t="s">
        <v>235</v>
      </c>
      <c r="H4">
        <f t="shared" si="1"/>
        <v>223.40785498489427</v>
      </c>
      <c r="I4">
        <f t="shared" si="2"/>
        <v>39.377643504531719</v>
      </c>
      <c r="J4">
        <f t="shared" si="3"/>
        <v>3.214501510574018</v>
      </c>
      <c r="K4">
        <f t="shared" si="4"/>
        <v>266</v>
      </c>
    </row>
    <row r="5" spans="1:11">
      <c r="A5" t="s">
        <v>292</v>
      </c>
      <c r="B5">
        <f>COUNTIFS(SalesData[MainCategory], "appliances", SalesData[PriceRange], "Low")</f>
        <v>81</v>
      </c>
      <c r="C5">
        <f>COUNTIFS(SalesData[MainCategory], "appliances", SalesData[PriceRange], "Medium")</f>
        <v>4</v>
      </c>
      <c r="D5">
        <f>COUNTIFS(SalesData[MainCategory], "appliances", SalesData[PriceRange], "High")</f>
        <v>0</v>
      </c>
      <c r="E5" s="23">
        <f t="shared" si="0"/>
        <v>85</v>
      </c>
      <c r="G5" t="s">
        <v>292</v>
      </c>
      <c r="H5">
        <f t="shared" si="1"/>
        <v>71.389728096676734</v>
      </c>
      <c r="I5">
        <f t="shared" si="2"/>
        <v>12.583081570996979</v>
      </c>
      <c r="J5">
        <f t="shared" si="3"/>
        <v>1.0271903323262841</v>
      </c>
      <c r="K5">
        <f t="shared" si="4"/>
        <v>85</v>
      </c>
    </row>
    <row r="6" spans="1:11">
      <c r="A6" t="s">
        <v>293</v>
      </c>
      <c r="B6">
        <f>COUNTIFS(SalesData[MainCategory], "furniture", SalesData[PriceRange], "Low")</f>
        <v>15</v>
      </c>
      <c r="C6">
        <f>COUNTIFS(SalesData[MainCategory], "furniture", SalesData[PriceRange], "Medium")</f>
        <v>1</v>
      </c>
      <c r="D6">
        <f>COUNTIFS(SalesData[MainCategory], "furniture", SalesData[PriceRange], "High")</f>
        <v>0</v>
      </c>
      <c r="E6" s="23">
        <f t="shared" si="0"/>
        <v>16</v>
      </c>
      <c r="G6" t="s">
        <v>293</v>
      </c>
      <c r="H6">
        <f>E6 * B$12 / $E$12</f>
        <v>13.438066465256798</v>
      </c>
      <c r="I6">
        <f t="shared" si="2"/>
        <v>2.3685800604229605</v>
      </c>
      <c r="J6">
        <f t="shared" si="3"/>
        <v>0.19335347432024169</v>
      </c>
      <c r="K6">
        <f t="shared" si="4"/>
        <v>16</v>
      </c>
    </row>
    <row r="7" spans="1:11">
      <c r="A7" t="s">
        <v>294</v>
      </c>
      <c r="B7">
        <f>COUNTIFS(SalesData[MainCategory], "construction", SalesData[PriceRange], "Low")</f>
        <v>12</v>
      </c>
      <c r="C7">
        <f>COUNTIFS(SalesData[MainCategory], "construction", SalesData[PriceRange], "Medium")</f>
        <v>0</v>
      </c>
      <c r="D7">
        <f>COUNTIFS(SalesData[MainCategory], "construction", SalesData[PriceRange], "High")</f>
        <v>0</v>
      </c>
      <c r="E7" s="23">
        <f t="shared" si="0"/>
        <v>12</v>
      </c>
      <c r="G7" t="s">
        <v>294</v>
      </c>
      <c r="H7">
        <f>E7 * B$12 / $E$12</f>
        <v>10.078549848942599</v>
      </c>
      <c r="I7">
        <f t="shared" si="2"/>
        <v>1.7764350453172206</v>
      </c>
      <c r="J7">
        <f t="shared" si="3"/>
        <v>0.14501510574018128</v>
      </c>
      <c r="K7">
        <f t="shared" si="4"/>
        <v>12.000000000000002</v>
      </c>
    </row>
    <row r="8" spans="1:11">
      <c r="A8" t="s">
        <v>295</v>
      </c>
      <c r="B8">
        <f>COUNTIFS(SalesData[MainCategory], "auto", SalesData[PriceRange], "Low")</f>
        <v>6</v>
      </c>
      <c r="C8">
        <f>COUNTIFS(SalesData[MainCategory], "auto", SalesData[PriceRange], "Medium")</f>
        <v>0</v>
      </c>
      <c r="D8">
        <f>COUNTIFS(SalesData[MainCategory], "auto", SalesData[PriceRange], "High")</f>
        <v>0</v>
      </c>
      <c r="E8" s="23">
        <f t="shared" si="0"/>
        <v>6</v>
      </c>
      <c r="G8" t="s">
        <v>295</v>
      </c>
      <c r="H8">
        <f t="shared" si="1"/>
        <v>5.0392749244712993</v>
      </c>
      <c r="I8">
        <f t="shared" si="2"/>
        <v>0.88821752265861031</v>
      </c>
      <c r="J8">
        <f t="shared" si="3"/>
        <v>7.2507552870090641E-2</v>
      </c>
      <c r="K8">
        <f t="shared" si="4"/>
        <v>6.0000000000000009</v>
      </c>
    </row>
    <row r="9" spans="1:11">
      <c r="A9" t="s">
        <v>296</v>
      </c>
      <c r="B9">
        <f>COUNTIFS(SalesData[MainCategory], "accessories", SalesData[PriceRange], "Low")</f>
        <v>3</v>
      </c>
      <c r="C9">
        <f>COUNTIFS(SalesData[MainCategory], "accessories", SalesData[PriceRange], "Medium")</f>
        <v>0</v>
      </c>
      <c r="D9">
        <f>COUNTIFS(SalesData[MainCategory], "accessories", SalesData[PriceRange], "High")</f>
        <v>0</v>
      </c>
      <c r="E9" s="23">
        <f t="shared" si="0"/>
        <v>3</v>
      </c>
      <c r="G9" t="s">
        <v>296</v>
      </c>
      <c r="H9">
        <f t="shared" si="1"/>
        <v>2.5196374622356497</v>
      </c>
      <c r="I9">
        <f t="shared" si="2"/>
        <v>0.44410876132930516</v>
      </c>
      <c r="J9">
        <f t="shared" si="3"/>
        <v>3.6253776435045321E-2</v>
      </c>
      <c r="K9">
        <f t="shared" si="4"/>
        <v>3.0000000000000004</v>
      </c>
    </row>
    <row r="10" spans="1:11">
      <c r="A10" t="s">
        <v>297</v>
      </c>
      <c r="B10">
        <f>COUNTIFS(SalesData[MainCategory], "apparel", SalesData[PriceRange], "Low")</f>
        <v>13</v>
      </c>
      <c r="C10">
        <f>COUNTIFS(SalesData[MainCategory], "apparel", SalesData[PriceRange], "Medium")</f>
        <v>0</v>
      </c>
      <c r="D10">
        <f>COUNTIFS(SalesData[MainCategory], "apparel", SalesData[PriceRange], "High")</f>
        <v>0</v>
      </c>
      <c r="E10" s="23">
        <f t="shared" si="0"/>
        <v>13</v>
      </c>
      <c r="G10" t="s">
        <v>297</v>
      </c>
      <c r="H10">
        <f t="shared" si="1"/>
        <v>10.918429003021147</v>
      </c>
      <c r="I10">
        <f t="shared" si="2"/>
        <v>1.9244712990936557</v>
      </c>
      <c r="J10">
        <f t="shared" si="3"/>
        <v>0.15709969788519637</v>
      </c>
      <c r="K10">
        <f t="shared" si="4"/>
        <v>12.999999999999998</v>
      </c>
    </row>
    <row r="11" spans="1:11">
      <c r="A11" t="s">
        <v>298</v>
      </c>
      <c r="B11">
        <f>COUNTIFS(SalesData[MainCategory], "kids", SalesData[PriceRange], "Low")</f>
        <v>2</v>
      </c>
      <c r="C11">
        <f>COUNTIFS(SalesData[MainCategory], "kids", SalesData[PriceRange], "Medium")</f>
        <v>0</v>
      </c>
      <c r="D11">
        <f>COUNTIFS(SalesData[MainCategory], "kids", SalesData[PriceRange], "High")</f>
        <v>0</v>
      </c>
      <c r="E11" s="23">
        <f t="shared" si="0"/>
        <v>2</v>
      </c>
      <c r="G11" t="s">
        <v>298</v>
      </c>
      <c r="H11">
        <f t="shared" si="1"/>
        <v>1.6797583081570997</v>
      </c>
      <c r="I11">
        <f t="shared" si="2"/>
        <v>0.29607250755287007</v>
      </c>
      <c r="J11">
        <f t="shared" si="3"/>
        <v>2.4169184290030211E-2</v>
      </c>
      <c r="K11">
        <f t="shared" si="4"/>
        <v>2</v>
      </c>
    </row>
    <row r="12" spans="1:11">
      <c r="A12" s="2" t="s">
        <v>305</v>
      </c>
      <c r="B12">
        <f>SUM(B2:B11)</f>
        <v>834</v>
      </c>
      <c r="C12">
        <f>SUM(C2:C11)</f>
        <v>147</v>
      </c>
      <c r="D12">
        <f>SUM(D2:D11)</f>
        <v>12</v>
      </c>
      <c r="E12" s="24">
        <f>SUM(E2:E11)</f>
        <v>993</v>
      </c>
      <c r="G12" s="2" t="s">
        <v>305</v>
      </c>
      <c r="H12">
        <f>SUM(H2:H11)</f>
        <v>834.00000000000011</v>
      </c>
      <c r="I12">
        <f t="shared" ref="I12:K12" si="5">SUM(I2:I11)</f>
        <v>147.00000000000003</v>
      </c>
      <c r="J12">
        <f t="shared" si="5"/>
        <v>12</v>
      </c>
      <c r="K12">
        <f t="shared" si="5"/>
        <v>993</v>
      </c>
    </row>
    <row r="15" spans="1:11">
      <c r="A15" s="39" t="s">
        <v>310</v>
      </c>
      <c r="B15" s="39"/>
      <c r="C15" s="26">
        <f>_xlfn.CHISQ.TEST(B2:D11,H2:J11)</f>
        <v>5.2444183183226281E-8</v>
      </c>
    </row>
  </sheetData>
  <mergeCells count="1">
    <mergeCell ref="A15:B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F7997-BD37-4605-B714-0F957B05891C}">
  <sheetPr codeName="Sheet5"/>
  <dimension ref="A1:G225"/>
  <sheetViews>
    <sheetView workbookViewId="0">
      <selection activeCell="F9" sqref="F9:F10"/>
    </sheetView>
  </sheetViews>
  <sheetFormatPr defaultRowHeight="15"/>
  <cols>
    <col min="5" max="5" width="12.5703125" bestFit="1" customWidth="1"/>
    <col min="6" max="6" width="15.85546875" bestFit="1" customWidth="1"/>
  </cols>
  <sheetData>
    <row r="1" spans="1:7" ht="15.75">
      <c r="A1" s="56" t="s">
        <v>326</v>
      </c>
      <c r="B1" s="56"/>
      <c r="C1" s="56"/>
      <c r="D1" s="56"/>
      <c r="E1" s="56"/>
      <c r="F1" s="56"/>
    </row>
    <row r="2" spans="1:7">
      <c r="A2" t="s">
        <v>266</v>
      </c>
      <c r="B2" t="s">
        <v>267</v>
      </c>
      <c r="C2" t="s">
        <v>271</v>
      </c>
    </row>
    <row r="3" spans="1:7">
      <c r="A3">
        <v>8046.52</v>
      </c>
      <c r="B3">
        <v>1544.42</v>
      </c>
      <c r="C3">
        <v>862.8</v>
      </c>
      <c r="E3" s="61" t="s">
        <v>277</v>
      </c>
      <c r="F3" s="62"/>
      <c r="G3" s="63"/>
    </row>
    <row r="4" spans="1:7">
      <c r="A4">
        <v>4996.08</v>
      </c>
      <c r="B4">
        <v>1133.3599999999999</v>
      </c>
      <c r="C4">
        <v>1993.6000000000001</v>
      </c>
      <c r="E4" s="58" t="s">
        <v>266</v>
      </c>
      <c r="F4" s="58" t="s">
        <v>267</v>
      </c>
      <c r="G4" s="58" t="s">
        <v>271</v>
      </c>
    </row>
    <row r="5" spans="1:7">
      <c r="A5">
        <v>1665.36</v>
      </c>
      <c r="B5">
        <v>2266.7199999999998</v>
      </c>
      <c r="C5">
        <v>771.7</v>
      </c>
      <c r="E5" s="59">
        <f>AVERAGE(A3:A182)</f>
        <v>2416.278611111115</v>
      </c>
      <c r="F5" s="59">
        <f>AVERAGE(B3:B225)</f>
        <v>712.74636771300516</v>
      </c>
      <c r="G5" s="59">
        <f>AVERAGE(C3:C87)</f>
        <v>460.77635294117664</v>
      </c>
    </row>
    <row r="6" spans="1:7">
      <c r="A6">
        <v>8326.7999999999993</v>
      </c>
      <c r="B6">
        <v>3602.56</v>
      </c>
      <c r="C6">
        <v>1041.72</v>
      </c>
      <c r="E6" s="57"/>
      <c r="F6" s="57"/>
      <c r="G6" s="57"/>
    </row>
    <row r="7" spans="1:7">
      <c r="A7">
        <v>1665.36</v>
      </c>
      <c r="B7">
        <v>2701.92</v>
      </c>
      <c r="C7">
        <v>1234.44</v>
      </c>
      <c r="E7" s="57"/>
      <c r="F7" s="57"/>
      <c r="G7" s="57"/>
    </row>
    <row r="8" spans="1:7">
      <c r="A8">
        <v>6661.44</v>
      </c>
      <c r="B8">
        <v>4503.2</v>
      </c>
      <c r="C8">
        <v>1543.0500000000002</v>
      </c>
      <c r="E8" s="57"/>
      <c r="F8" s="57"/>
      <c r="G8" s="57"/>
    </row>
    <row r="9" spans="1:7">
      <c r="A9">
        <v>7917.4</v>
      </c>
      <c r="B9">
        <v>771.94</v>
      </c>
      <c r="C9">
        <v>563.41999999999996</v>
      </c>
      <c r="F9" s="58" t="s">
        <v>327</v>
      </c>
      <c r="G9" s="57"/>
    </row>
    <row r="10" spans="1:7">
      <c r="A10">
        <v>4750.4400000000005</v>
      </c>
      <c r="B10">
        <v>717.39</v>
      </c>
      <c r="C10">
        <v>561.14</v>
      </c>
      <c r="F10" s="60">
        <f>_xlfn.T.TEST(A3:A182, B3:B225, 2, 2)</f>
        <v>7.2667214709712541E-31</v>
      </c>
      <c r="G10" s="57"/>
    </row>
    <row r="11" spans="1:7">
      <c r="A11">
        <v>7277.8499999999995</v>
      </c>
      <c r="B11">
        <v>1434.78</v>
      </c>
      <c r="C11">
        <v>1348.8999999999999</v>
      </c>
      <c r="E11" s="57"/>
      <c r="F11" s="57"/>
      <c r="G11" s="57"/>
    </row>
    <row r="12" spans="1:7">
      <c r="A12">
        <v>5822.28</v>
      </c>
      <c r="B12">
        <v>2152.17</v>
      </c>
      <c r="C12">
        <v>809.33999999999992</v>
      </c>
    </row>
    <row r="13" spans="1:7">
      <c r="A13">
        <v>1348.61</v>
      </c>
      <c r="B13">
        <v>1286.46</v>
      </c>
      <c r="C13">
        <v>809.33999999999992</v>
      </c>
    </row>
    <row r="14" spans="1:7">
      <c r="A14">
        <v>1348.61</v>
      </c>
      <c r="B14">
        <v>1177.8399999999999</v>
      </c>
      <c r="C14">
        <v>446.34</v>
      </c>
    </row>
    <row r="15" spans="1:7">
      <c r="A15">
        <v>6743.0499999999993</v>
      </c>
      <c r="B15">
        <v>2895.7</v>
      </c>
      <c r="C15">
        <v>437.08</v>
      </c>
    </row>
    <row r="16" spans="1:7">
      <c r="A16">
        <v>2697.22</v>
      </c>
      <c r="B16">
        <v>1509.27</v>
      </c>
      <c r="C16">
        <v>1060.5</v>
      </c>
    </row>
    <row r="17" spans="1:3">
      <c r="A17">
        <v>5394.44</v>
      </c>
      <c r="B17">
        <v>1006.18</v>
      </c>
      <c r="C17">
        <v>424.16</v>
      </c>
    </row>
    <row r="18" spans="1:3">
      <c r="A18">
        <v>6743.0499999999993</v>
      </c>
      <c r="B18">
        <v>977.6</v>
      </c>
      <c r="C18">
        <v>848.32</v>
      </c>
    </row>
    <row r="19" spans="1:3">
      <c r="A19">
        <v>2697.22</v>
      </c>
      <c r="B19">
        <v>488.8</v>
      </c>
      <c r="C19">
        <v>424.16</v>
      </c>
    </row>
    <row r="20" spans="1:3">
      <c r="A20">
        <v>5394.44</v>
      </c>
      <c r="B20">
        <v>2444</v>
      </c>
      <c r="C20">
        <v>636.24</v>
      </c>
    </row>
    <row r="21" spans="1:3">
      <c r="A21">
        <v>6743.0499999999993</v>
      </c>
      <c r="B21">
        <v>1466.4</v>
      </c>
      <c r="C21">
        <v>636.24</v>
      </c>
    </row>
    <row r="22" spans="1:3">
      <c r="A22">
        <v>6743.0499999999993</v>
      </c>
      <c r="B22">
        <v>488.8</v>
      </c>
      <c r="C22">
        <v>212.08</v>
      </c>
    </row>
    <row r="23" spans="1:3">
      <c r="A23">
        <v>5394.44</v>
      </c>
      <c r="B23">
        <v>977.6</v>
      </c>
      <c r="C23">
        <v>847.68</v>
      </c>
    </row>
    <row r="24" spans="1:3">
      <c r="A24">
        <v>5394.44</v>
      </c>
      <c r="B24">
        <v>2444</v>
      </c>
      <c r="C24">
        <v>423.84</v>
      </c>
    </row>
    <row r="25" spans="1:3">
      <c r="A25">
        <v>5348.92</v>
      </c>
      <c r="B25">
        <v>488.8</v>
      </c>
      <c r="C25">
        <v>847.68</v>
      </c>
    </row>
    <row r="26" spans="1:3">
      <c r="A26">
        <v>6686.15</v>
      </c>
      <c r="B26">
        <v>977.6</v>
      </c>
      <c r="C26">
        <v>1015.45</v>
      </c>
    </row>
    <row r="27" spans="1:3">
      <c r="A27">
        <v>4729.4799999999996</v>
      </c>
      <c r="B27">
        <v>2444</v>
      </c>
      <c r="C27">
        <v>406.18</v>
      </c>
    </row>
    <row r="28" spans="1:3">
      <c r="A28">
        <v>5532.95</v>
      </c>
      <c r="B28">
        <v>921</v>
      </c>
      <c r="C28">
        <v>406.18</v>
      </c>
    </row>
    <row r="29" spans="1:3">
      <c r="A29">
        <v>2055.1799999999998</v>
      </c>
      <c r="B29">
        <v>1698.8</v>
      </c>
      <c r="C29">
        <v>609.27</v>
      </c>
    </row>
    <row r="30" spans="1:3">
      <c r="A30">
        <v>4109.76</v>
      </c>
      <c r="B30">
        <v>1234.77</v>
      </c>
      <c r="C30">
        <v>203.09</v>
      </c>
    </row>
    <row r="31" spans="1:3">
      <c r="A31">
        <v>4055.44</v>
      </c>
      <c r="B31">
        <v>1197.78</v>
      </c>
      <c r="C31">
        <v>203.09</v>
      </c>
    </row>
    <row r="32" spans="1:3">
      <c r="A32">
        <v>3041.58</v>
      </c>
      <c r="B32">
        <v>1196.8499999999999</v>
      </c>
      <c r="C32">
        <v>1015.45</v>
      </c>
    </row>
    <row r="33" spans="1:3">
      <c r="A33">
        <v>4055.44</v>
      </c>
      <c r="B33">
        <v>1196.8499999999999</v>
      </c>
      <c r="C33">
        <v>406.18</v>
      </c>
    </row>
    <row r="34" spans="1:3">
      <c r="A34">
        <v>4055.44</v>
      </c>
      <c r="B34">
        <v>1108.3499999999999</v>
      </c>
      <c r="C34">
        <v>609.27</v>
      </c>
    </row>
    <row r="35" spans="1:3">
      <c r="A35">
        <v>3041.58</v>
      </c>
      <c r="B35">
        <v>738.9</v>
      </c>
      <c r="C35">
        <v>406.18</v>
      </c>
    </row>
    <row r="36" spans="1:3">
      <c r="A36">
        <v>3010.89</v>
      </c>
      <c r="B36">
        <v>1477.8</v>
      </c>
      <c r="C36">
        <v>569.91</v>
      </c>
    </row>
    <row r="37" spans="1:3">
      <c r="A37">
        <v>3909.2</v>
      </c>
      <c r="B37">
        <v>724.58</v>
      </c>
      <c r="C37">
        <v>759.88</v>
      </c>
    </row>
    <row r="38" spans="1:3">
      <c r="A38">
        <v>4886.5</v>
      </c>
      <c r="B38">
        <v>1086.8700000000001</v>
      </c>
      <c r="C38">
        <v>759.88</v>
      </c>
    </row>
    <row r="39" spans="1:3">
      <c r="A39">
        <v>2931.8999999999996</v>
      </c>
      <c r="B39">
        <v>1086.8700000000001</v>
      </c>
      <c r="C39">
        <v>569.91</v>
      </c>
    </row>
    <row r="40" spans="1:3">
      <c r="A40">
        <v>4884.1000000000004</v>
      </c>
      <c r="B40">
        <v>1811.45</v>
      </c>
      <c r="C40">
        <v>949.85</v>
      </c>
    </row>
    <row r="41" spans="1:3">
      <c r="A41">
        <v>973.41</v>
      </c>
      <c r="B41">
        <v>1086.8700000000001</v>
      </c>
      <c r="C41">
        <v>569.91</v>
      </c>
    </row>
    <row r="42" spans="1:3">
      <c r="A42">
        <v>973.41</v>
      </c>
      <c r="B42">
        <v>1811.45</v>
      </c>
      <c r="C42">
        <v>189.97</v>
      </c>
    </row>
    <row r="43" spans="1:3">
      <c r="A43">
        <v>4747.3500000000004</v>
      </c>
      <c r="B43">
        <v>724.58</v>
      </c>
      <c r="C43">
        <v>379.94</v>
      </c>
    </row>
    <row r="44" spans="1:3">
      <c r="A44">
        <v>949.47</v>
      </c>
      <c r="B44">
        <v>362.29</v>
      </c>
      <c r="C44">
        <v>949.85</v>
      </c>
    </row>
    <row r="45" spans="1:3">
      <c r="A45">
        <v>2848.41</v>
      </c>
      <c r="B45">
        <v>362.29</v>
      </c>
      <c r="C45">
        <v>379.94</v>
      </c>
    </row>
    <row r="46" spans="1:3">
      <c r="A46">
        <v>1898.94</v>
      </c>
      <c r="B46">
        <v>1255.1199999999999</v>
      </c>
      <c r="C46">
        <v>379.94</v>
      </c>
    </row>
    <row r="47" spans="1:3">
      <c r="A47">
        <v>3797.88</v>
      </c>
      <c r="B47">
        <v>1224.2</v>
      </c>
      <c r="C47">
        <v>894.5</v>
      </c>
    </row>
    <row r="48" spans="1:3">
      <c r="A48">
        <v>4747.3500000000004</v>
      </c>
      <c r="B48">
        <v>918.15000000000009</v>
      </c>
      <c r="C48">
        <v>302.2</v>
      </c>
    </row>
    <row r="49" spans="1:3">
      <c r="A49">
        <v>1898.94</v>
      </c>
      <c r="B49">
        <v>903.24</v>
      </c>
      <c r="C49">
        <v>452.90999999999997</v>
      </c>
    </row>
    <row r="50" spans="1:3">
      <c r="A50">
        <v>949.47</v>
      </c>
      <c r="B50">
        <v>1163.28</v>
      </c>
      <c r="C50">
        <v>301.94</v>
      </c>
    </row>
    <row r="51" spans="1:3">
      <c r="A51">
        <v>1898.94</v>
      </c>
      <c r="B51">
        <v>581.64</v>
      </c>
      <c r="C51">
        <v>301.94</v>
      </c>
    </row>
    <row r="52" spans="1:3">
      <c r="A52">
        <v>3797.88</v>
      </c>
      <c r="B52">
        <v>1454.1</v>
      </c>
      <c r="C52">
        <v>571.36</v>
      </c>
    </row>
    <row r="53" spans="1:3">
      <c r="A53">
        <v>2848.41</v>
      </c>
      <c r="B53">
        <v>1101</v>
      </c>
      <c r="C53">
        <v>704.09999999999991</v>
      </c>
    </row>
    <row r="54" spans="1:3">
      <c r="A54">
        <v>2848.41</v>
      </c>
      <c r="B54">
        <v>1101</v>
      </c>
      <c r="C54">
        <v>138.71</v>
      </c>
    </row>
    <row r="55" spans="1:3">
      <c r="A55">
        <v>4747.3500000000004</v>
      </c>
      <c r="B55">
        <v>825.75</v>
      </c>
      <c r="C55">
        <v>693.55000000000007</v>
      </c>
    </row>
    <row r="56" spans="1:3">
      <c r="A56">
        <v>2848.41</v>
      </c>
      <c r="B56">
        <v>1376.25</v>
      </c>
      <c r="C56">
        <v>548.72</v>
      </c>
    </row>
    <row r="57" spans="1:3">
      <c r="A57">
        <v>949.47</v>
      </c>
      <c r="B57">
        <v>1376.25</v>
      </c>
      <c r="C57">
        <v>408.51</v>
      </c>
    </row>
    <row r="58" spans="1:3">
      <c r="A58">
        <v>4747.3500000000004</v>
      </c>
      <c r="B58">
        <v>275.25</v>
      </c>
      <c r="C58">
        <v>270.02</v>
      </c>
    </row>
    <row r="59" spans="1:3">
      <c r="A59">
        <v>4747.3500000000004</v>
      </c>
      <c r="B59">
        <v>550.5</v>
      </c>
      <c r="C59">
        <v>135.01</v>
      </c>
    </row>
    <row r="60" spans="1:3">
      <c r="A60">
        <v>4747.3500000000004</v>
      </c>
      <c r="B60">
        <v>550.5</v>
      </c>
      <c r="C60">
        <v>458.52</v>
      </c>
    </row>
    <row r="61" spans="1:3">
      <c r="A61">
        <v>3797.88</v>
      </c>
      <c r="B61">
        <v>550.5</v>
      </c>
      <c r="C61">
        <v>378.8</v>
      </c>
    </row>
    <row r="62" spans="1:3">
      <c r="A62">
        <v>4747.3500000000004</v>
      </c>
      <c r="B62">
        <v>550.5</v>
      </c>
      <c r="C62">
        <v>81.86</v>
      </c>
    </row>
    <row r="63" spans="1:3">
      <c r="A63">
        <v>3797.88</v>
      </c>
      <c r="B63">
        <v>825.75</v>
      </c>
      <c r="C63">
        <v>212.37</v>
      </c>
    </row>
    <row r="64" spans="1:3">
      <c r="A64">
        <v>2848.41</v>
      </c>
      <c r="B64">
        <v>1101</v>
      </c>
      <c r="C64">
        <v>70.790000000000006</v>
      </c>
    </row>
    <row r="65" spans="1:3">
      <c r="A65">
        <v>4747.3500000000004</v>
      </c>
      <c r="B65">
        <v>825.75</v>
      </c>
      <c r="C65">
        <v>45.84</v>
      </c>
    </row>
    <row r="66" spans="1:3">
      <c r="A66">
        <v>3797.88</v>
      </c>
      <c r="B66">
        <v>273.56</v>
      </c>
      <c r="C66">
        <v>147.89999999999998</v>
      </c>
    </row>
    <row r="67" spans="1:3">
      <c r="A67">
        <v>949.47</v>
      </c>
      <c r="B67">
        <v>273.56</v>
      </c>
      <c r="C67">
        <v>88.74</v>
      </c>
    </row>
    <row r="68" spans="1:3">
      <c r="A68">
        <v>2848.41</v>
      </c>
      <c r="B68">
        <v>784.94999999999993</v>
      </c>
      <c r="C68">
        <v>59.16</v>
      </c>
    </row>
    <row r="69" spans="1:3">
      <c r="A69">
        <v>3797.88</v>
      </c>
      <c r="B69">
        <v>1031.48</v>
      </c>
      <c r="C69">
        <v>118.32</v>
      </c>
    </row>
    <row r="70" spans="1:3">
      <c r="A70">
        <v>2848.41</v>
      </c>
      <c r="B70">
        <v>242.72</v>
      </c>
      <c r="C70">
        <v>147.89999999999998</v>
      </c>
    </row>
    <row r="71" spans="1:3">
      <c r="A71">
        <v>2785.14</v>
      </c>
      <c r="B71">
        <v>970.88</v>
      </c>
      <c r="C71">
        <v>88.74</v>
      </c>
    </row>
    <row r="72" spans="1:3">
      <c r="A72">
        <v>4640.8999999999996</v>
      </c>
      <c r="B72">
        <v>970.88</v>
      </c>
      <c r="C72">
        <v>88.74</v>
      </c>
    </row>
    <row r="73" spans="1:3">
      <c r="A73">
        <v>2784.54</v>
      </c>
      <c r="B73">
        <v>970.88</v>
      </c>
      <c r="C73">
        <v>147.89999999999998</v>
      </c>
    </row>
    <row r="74" spans="1:3">
      <c r="A74">
        <v>4640.8999999999996</v>
      </c>
      <c r="B74">
        <v>1213.5999999999999</v>
      </c>
      <c r="C74">
        <v>118.32</v>
      </c>
    </row>
    <row r="75" spans="1:3">
      <c r="A75">
        <v>4115.8</v>
      </c>
      <c r="B75">
        <v>485.44</v>
      </c>
      <c r="C75">
        <v>29.58</v>
      </c>
    </row>
    <row r="76" spans="1:3">
      <c r="A76">
        <v>2328.2400000000002</v>
      </c>
      <c r="B76">
        <v>1213.1500000000001</v>
      </c>
      <c r="C76">
        <v>115.25</v>
      </c>
    </row>
    <row r="77" spans="1:3">
      <c r="A77">
        <v>2998.68</v>
      </c>
      <c r="B77">
        <v>485.26</v>
      </c>
      <c r="C77">
        <v>68.400000000000006</v>
      </c>
    </row>
    <row r="78" spans="1:3">
      <c r="A78">
        <v>2249.0099999999998</v>
      </c>
      <c r="B78">
        <v>242.63</v>
      </c>
      <c r="C78">
        <v>45.6</v>
      </c>
    </row>
    <row r="79" spans="1:3">
      <c r="A79">
        <v>1499.34</v>
      </c>
      <c r="B79">
        <v>1213.1500000000001</v>
      </c>
      <c r="C79">
        <v>45.6</v>
      </c>
    </row>
    <row r="80" spans="1:3">
      <c r="A80">
        <v>3660.3500000000004</v>
      </c>
      <c r="B80">
        <v>1213.1500000000001</v>
      </c>
      <c r="C80">
        <v>22.8</v>
      </c>
    </row>
    <row r="81" spans="1:3">
      <c r="A81">
        <v>2196.21</v>
      </c>
      <c r="B81">
        <v>970.52</v>
      </c>
      <c r="C81">
        <v>91.2</v>
      </c>
    </row>
    <row r="82" spans="1:3">
      <c r="A82">
        <v>2928.28</v>
      </c>
      <c r="B82">
        <v>970.52</v>
      </c>
      <c r="C82">
        <v>91.2</v>
      </c>
    </row>
    <row r="83" spans="1:3">
      <c r="A83">
        <v>2196.21</v>
      </c>
      <c r="B83">
        <v>727.89</v>
      </c>
      <c r="C83">
        <v>22.8</v>
      </c>
    </row>
    <row r="84" spans="1:3">
      <c r="A84">
        <v>2167.1999999999998</v>
      </c>
      <c r="B84">
        <v>727.89</v>
      </c>
      <c r="C84">
        <v>68.400000000000006</v>
      </c>
    </row>
    <row r="85" spans="1:3">
      <c r="A85">
        <v>1444.8</v>
      </c>
      <c r="B85">
        <v>727.89</v>
      </c>
      <c r="C85">
        <v>22.8</v>
      </c>
    </row>
    <row r="86" spans="1:3">
      <c r="A86">
        <v>2889.6</v>
      </c>
      <c r="B86">
        <v>970.52</v>
      </c>
      <c r="C86">
        <v>21.85</v>
      </c>
    </row>
    <row r="87" spans="1:3">
      <c r="A87">
        <v>1444.8</v>
      </c>
      <c r="B87">
        <v>485.26</v>
      </c>
      <c r="C87">
        <v>20.05</v>
      </c>
    </row>
    <row r="88" spans="1:3">
      <c r="A88">
        <v>2167.1999999999998</v>
      </c>
      <c r="B88">
        <v>485.26</v>
      </c>
    </row>
    <row r="89" spans="1:3">
      <c r="A89">
        <v>2889.6</v>
      </c>
      <c r="B89">
        <v>242.63</v>
      </c>
    </row>
    <row r="90" spans="1:3">
      <c r="A90">
        <v>3612</v>
      </c>
      <c r="B90">
        <v>970.52</v>
      </c>
    </row>
    <row r="91" spans="1:3">
      <c r="A91">
        <v>722.4</v>
      </c>
      <c r="B91">
        <v>1213.1500000000001</v>
      </c>
    </row>
    <row r="92" spans="1:3">
      <c r="A92">
        <v>2889.6</v>
      </c>
      <c r="B92">
        <v>485.26</v>
      </c>
    </row>
    <row r="93" spans="1:3">
      <c r="A93">
        <v>2167.1999999999998</v>
      </c>
      <c r="B93">
        <v>242.63</v>
      </c>
    </row>
    <row r="94" spans="1:3">
      <c r="A94">
        <v>3612</v>
      </c>
      <c r="B94">
        <v>970.52</v>
      </c>
    </row>
    <row r="95" spans="1:3">
      <c r="A95">
        <v>722.4</v>
      </c>
      <c r="B95">
        <v>242.63</v>
      </c>
    </row>
    <row r="96" spans="1:3">
      <c r="A96">
        <v>1444.8</v>
      </c>
      <c r="B96">
        <v>1213.1500000000001</v>
      </c>
    </row>
    <row r="97" spans="1:2">
      <c r="A97">
        <v>722.4</v>
      </c>
      <c r="B97">
        <v>727.89</v>
      </c>
    </row>
    <row r="98" spans="1:2">
      <c r="A98">
        <v>2889.6</v>
      </c>
      <c r="B98">
        <v>242.63</v>
      </c>
    </row>
    <row r="99" spans="1:2">
      <c r="A99">
        <v>2889.6</v>
      </c>
      <c r="B99">
        <v>485.26</v>
      </c>
    </row>
    <row r="100" spans="1:2">
      <c r="A100">
        <v>722.4</v>
      </c>
      <c r="B100">
        <v>727.89</v>
      </c>
    </row>
    <row r="101" spans="1:2">
      <c r="A101">
        <v>3612</v>
      </c>
      <c r="B101">
        <v>242.63</v>
      </c>
    </row>
    <row r="102" spans="1:2">
      <c r="A102">
        <v>1182.5</v>
      </c>
      <c r="B102">
        <v>1149.5</v>
      </c>
    </row>
    <row r="103" spans="1:2">
      <c r="A103">
        <v>2365</v>
      </c>
      <c r="B103">
        <v>919.6</v>
      </c>
    </row>
    <row r="104" spans="1:2">
      <c r="A104">
        <v>2889.45</v>
      </c>
      <c r="B104">
        <v>919.6</v>
      </c>
    </row>
    <row r="105" spans="1:2">
      <c r="A105">
        <v>577.89</v>
      </c>
      <c r="B105">
        <v>919.6</v>
      </c>
    </row>
    <row r="106" spans="1:2">
      <c r="A106">
        <v>2889.45</v>
      </c>
      <c r="B106">
        <v>459.8</v>
      </c>
    </row>
    <row r="107" spans="1:2">
      <c r="A107">
        <v>577.89</v>
      </c>
      <c r="B107">
        <v>919.6</v>
      </c>
    </row>
    <row r="108" spans="1:2">
      <c r="A108">
        <v>1155.78</v>
      </c>
      <c r="B108">
        <v>689.7</v>
      </c>
    </row>
    <row r="109" spans="1:2">
      <c r="A109">
        <v>2311.56</v>
      </c>
      <c r="B109">
        <v>689.7</v>
      </c>
    </row>
    <row r="110" spans="1:2">
      <c r="A110">
        <v>566.04</v>
      </c>
      <c r="B110">
        <v>459.8</v>
      </c>
    </row>
    <row r="111" spans="1:2">
      <c r="A111">
        <v>2662.8500000000004</v>
      </c>
      <c r="B111">
        <v>1149.5</v>
      </c>
    </row>
    <row r="112" spans="1:2">
      <c r="A112">
        <v>1597.71</v>
      </c>
      <c r="B112">
        <v>895.8</v>
      </c>
    </row>
    <row r="113" spans="1:2">
      <c r="A113">
        <v>2656.3</v>
      </c>
      <c r="B113">
        <v>447.9</v>
      </c>
    </row>
    <row r="114" spans="1:2">
      <c r="A114">
        <v>1593.78</v>
      </c>
      <c r="B114">
        <v>223.95</v>
      </c>
    </row>
    <row r="115" spans="1:2">
      <c r="A115">
        <v>1593.78</v>
      </c>
      <c r="B115">
        <v>895.8</v>
      </c>
    </row>
    <row r="116" spans="1:2">
      <c r="A116">
        <v>2125.04</v>
      </c>
      <c r="B116">
        <v>671.84999999999991</v>
      </c>
    </row>
    <row r="117" spans="1:2">
      <c r="A117">
        <v>1863.64</v>
      </c>
      <c r="B117">
        <v>780.24</v>
      </c>
    </row>
    <row r="118" spans="1:2">
      <c r="A118">
        <v>1863.64</v>
      </c>
      <c r="B118">
        <v>195.06</v>
      </c>
    </row>
    <row r="119" spans="1:2">
      <c r="A119">
        <v>458.28</v>
      </c>
      <c r="B119">
        <v>585.18000000000006</v>
      </c>
    </row>
    <row r="120" spans="1:2">
      <c r="A120">
        <v>1374.84</v>
      </c>
      <c r="B120">
        <v>390.12</v>
      </c>
    </row>
    <row r="121" spans="1:2">
      <c r="A121">
        <v>1833.12</v>
      </c>
      <c r="B121">
        <v>585.18000000000006</v>
      </c>
    </row>
    <row r="122" spans="1:2">
      <c r="A122">
        <v>1833.12</v>
      </c>
      <c r="B122">
        <v>585.18000000000006</v>
      </c>
    </row>
    <row r="123" spans="1:2">
      <c r="A123">
        <v>1833.12</v>
      </c>
      <c r="B123">
        <v>773.04</v>
      </c>
    </row>
    <row r="124" spans="1:2">
      <c r="A124">
        <v>916.56</v>
      </c>
      <c r="B124">
        <v>516.68999999999994</v>
      </c>
    </row>
    <row r="125" spans="1:2">
      <c r="A125">
        <v>916.56</v>
      </c>
      <c r="B125">
        <v>861.15</v>
      </c>
    </row>
    <row r="126" spans="1:2">
      <c r="A126">
        <v>1833.12</v>
      </c>
      <c r="B126">
        <v>688.92</v>
      </c>
    </row>
    <row r="127" spans="1:2">
      <c r="A127">
        <v>1833.12</v>
      </c>
      <c r="B127">
        <v>516.68999999999994</v>
      </c>
    </row>
    <row r="128" spans="1:2">
      <c r="A128">
        <v>458.28</v>
      </c>
      <c r="B128">
        <v>172.23</v>
      </c>
    </row>
    <row r="129" spans="1:2">
      <c r="A129">
        <v>1833.12</v>
      </c>
      <c r="B129">
        <v>861.15</v>
      </c>
    </row>
    <row r="130" spans="1:2">
      <c r="A130">
        <v>2291.3999999999996</v>
      </c>
      <c r="B130">
        <v>344.46</v>
      </c>
    </row>
    <row r="131" spans="1:2">
      <c r="A131">
        <v>1374.84</v>
      </c>
      <c r="B131">
        <v>344.46</v>
      </c>
    </row>
    <row r="132" spans="1:2">
      <c r="A132">
        <v>1833.12</v>
      </c>
      <c r="B132">
        <v>516.68999999999994</v>
      </c>
    </row>
    <row r="133" spans="1:2">
      <c r="A133">
        <v>458.28</v>
      </c>
      <c r="B133">
        <v>344.46</v>
      </c>
    </row>
    <row r="134" spans="1:2">
      <c r="A134">
        <v>458.28</v>
      </c>
      <c r="B134">
        <v>344.46</v>
      </c>
    </row>
    <row r="135" spans="1:2">
      <c r="A135">
        <v>2291.3999999999996</v>
      </c>
      <c r="B135">
        <v>344.46</v>
      </c>
    </row>
    <row r="136" spans="1:2">
      <c r="A136">
        <v>916.56</v>
      </c>
      <c r="B136">
        <v>344.46</v>
      </c>
    </row>
    <row r="137" spans="1:2">
      <c r="A137">
        <v>2285.65</v>
      </c>
      <c r="B137">
        <v>688.92</v>
      </c>
    </row>
    <row r="138" spans="1:2">
      <c r="A138">
        <v>1359.48</v>
      </c>
      <c r="B138">
        <v>344.46</v>
      </c>
    </row>
    <row r="139" spans="1:2">
      <c r="A139">
        <v>447.6</v>
      </c>
      <c r="B139">
        <v>344.46</v>
      </c>
    </row>
    <row r="140" spans="1:2">
      <c r="A140">
        <v>437.31</v>
      </c>
      <c r="B140">
        <v>172.23</v>
      </c>
    </row>
    <row r="141" spans="1:2">
      <c r="A141">
        <v>2057.7000000000003</v>
      </c>
      <c r="B141">
        <v>172.22</v>
      </c>
    </row>
    <row r="142" spans="1:2">
      <c r="A142">
        <v>716.62</v>
      </c>
      <c r="B142">
        <v>616.64</v>
      </c>
    </row>
    <row r="143" spans="1:2">
      <c r="A143">
        <v>1433.24</v>
      </c>
      <c r="B143">
        <v>139.68</v>
      </c>
    </row>
    <row r="144" spans="1:2">
      <c r="A144">
        <v>716.62</v>
      </c>
      <c r="B144">
        <v>558.72</v>
      </c>
    </row>
    <row r="145" spans="1:2">
      <c r="A145">
        <v>716.62</v>
      </c>
      <c r="B145">
        <v>698.40000000000009</v>
      </c>
    </row>
    <row r="146" spans="1:2">
      <c r="A146">
        <v>1433.24</v>
      </c>
      <c r="B146">
        <v>558.72</v>
      </c>
    </row>
    <row r="147" spans="1:2">
      <c r="A147">
        <v>358.31</v>
      </c>
      <c r="B147">
        <v>279.36</v>
      </c>
    </row>
    <row r="148" spans="1:2">
      <c r="A148">
        <v>358.31</v>
      </c>
      <c r="B148">
        <v>419.04</v>
      </c>
    </row>
    <row r="149" spans="1:2">
      <c r="A149">
        <v>1433.24</v>
      </c>
      <c r="B149">
        <v>558.72</v>
      </c>
    </row>
    <row r="150" spans="1:2">
      <c r="A150">
        <v>716.62</v>
      </c>
      <c r="B150">
        <v>558.72</v>
      </c>
    </row>
    <row r="151" spans="1:2">
      <c r="A151">
        <v>358.31</v>
      </c>
      <c r="B151">
        <v>419.04</v>
      </c>
    </row>
    <row r="152" spans="1:2">
      <c r="A152">
        <v>1665.3999999999999</v>
      </c>
      <c r="B152">
        <v>419.04</v>
      </c>
    </row>
    <row r="153" spans="1:2">
      <c r="A153">
        <v>635.34</v>
      </c>
      <c r="B153">
        <v>139.63999999999999</v>
      </c>
    </row>
    <row r="154" spans="1:2">
      <c r="A154">
        <v>597.20000000000005</v>
      </c>
      <c r="B154">
        <v>139.63999999999999</v>
      </c>
    </row>
    <row r="155" spans="1:2">
      <c r="A155">
        <v>1286.9000000000001</v>
      </c>
      <c r="B155">
        <v>279.27999999999997</v>
      </c>
    </row>
    <row r="156" spans="1:2">
      <c r="A156">
        <v>755.76</v>
      </c>
      <c r="B156">
        <v>558.55999999999995</v>
      </c>
    </row>
    <row r="157" spans="1:2">
      <c r="A157">
        <v>188.94</v>
      </c>
      <c r="B157">
        <v>558.55999999999995</v>
      </c>
    </row>
    <row r="158" spans="1:2">
      <c r="A158">
        <v>188.94</v>
      </c>
      <c r="B158">
        <v>657.65</v>
      </c>
    </row>
    <row r="159" spans="1:2">
      <c r="A159">
        <v>944.7</v>
      </c>
      <c r="B159">
        <v>657.65</v>
      </c>
    </row>
    <row r="160" spans="1:2">
      <c r="A160">
        <v>188.94</v>
      </c>
      <c r="B160">
        <v>657.65</v>
      </c>
    </row>
    <row r="161" spans="1:2">
      <c r="A161">
        <v>802.84999999999991</v>
      </c>
      <c r="B161">
        <v>256.83999999999997</v>
      </c>
    </row>
    <row r="162" spans="1:2">
      <c r="A162">
        <v>160.57</v>
      </c>
      <c r="B162">
        <v>256.83999999999997</v>
      </c>
    </row>
    <row r="163" spans="1:2">
      <c r="A163">
        <v>160.57</v>
      </c>
      <c r="B163">
        <v>256.83999999999997</v>
      </c>
    </row>
    <row r="164" spans="1:2">
      <c r="A164">
        <v>321.14</v>
      </c>
      <c r="B164">
        <v>513.67999999999995</v>
      </c>
    </row>
    <row r="165" spans="1:2">
      <c r="A165">
        <v>321.14</v>
      </c>
      <c r="B165">
        <v>513.67999999999995</v>
      </c>
    </row>
    <row r="166" spans="1:2">
      <c r="A166">
        <v>642.28</v>
      </c>
      <c r="B166">
        <v>513.67999999999995</v>
      </c>
    </row>
    <row r="167" spans="1:2">
      <c r="A167">
        <v>160.57</v>
      </c>
      <c r="B167">
        <v>256.83999999999997</v>
      </c>
    </row>
    <row r="168" spans="1:2">
      <c r="A168">
        <v>642.28</v>
      </c>
      <c r="B168">
        <v>385.26</v>
      </c>
    </row>
    <row r="169" spans="1:2">
      <c r="A169">
        <v>321.14</v>
      </c>
      <c r="B169">
        <v>256.83999999999997</v>
      </c>
    </row>
    <row r="170" spans="1:2">
      <c r="A170">
        <v>321.14</v>
      </c>
      <c r="B170">
        <v>385.26</v>
      </c>
    </row>
    <row r="171" spans="1:2">
      <c r="A171">
        <v>160.57</v>
      </c>
      <c r="B171">
        <v>256.83999999999997</v>
      </c>
    </row>
    <row r="172" spans="1:2">
      <c r="A172">
        <v>321.14</v>
      </c>
      <c r="B172">
        <v>642.09999999999991</v>
      </c>
    </row>
    <row r="173" spans="1:2">
      <c r="A173">
        <v>802.84999999999991</v>
      </c>
      <c r="B173">
        <v>128.41999999999999</v>
      </c>
    </row>
    <row r="174" spans="1:2">
      <c r="A174">
        <v>642.28</v>
      </c>
      <c r="B174">
        <v>128.41999999999999</v>
      </c>
    </row>
    <row r="175" spans="1:2">
      <c r="A175">
        <v>321.14</v>
      </c>
      <c r="B175">
        <v>128.41999999999999</v>
      </c>
    </row>
    <row r="176" spans="1:2">
      <c r="A176">
        <v>321.14</v>
      </c>
      <c r="B176">
        <v>513.67999999999995</v>
      </c>
    </row>
    <row r="177" spans="1:2">
      <c r="A177">
        <v>160.57</v>
      </c>
      <c r="B177">
        <v>385.26</v>
      </c>
    </row>
    <row r="178" spans="1:2">
      <c r="A178">
        <v>802.84999999999991</v>
      </c>
      <c r="B178">
        <v>642.09999999999991</v>
      </c>
    </row>
    <row r="179" spans="1:2">
      <c r="A179">
        <v>481.71</v>
      </c>
      <c r="B179">
        <v>385.26</v>
      </c>
    </row>
    <row r="180" spans="1:2">
      <c r="A180">
        <v>154.19999999999999</v>
      </c>
      <c r="B180">
        <v>642.09999999999991</v>
      </c>
    </row>
    <row r="181" spans="1:2">
      <c r="A181">
        <v>30.84</v>
      </c>
      <c r="B181">
        <v>128.41999999999999</v>
      </c>
    </row>
    <row r="182" spans="1:2">
      <c r="A182">
        <v>91.44</v>
      </c>
      <c r="B182">
        <v>642.09999999999991</v>
      </c>
    </row>
    <row r="183" spans="1:2">
      <c r="B183">
        <v>256.83999999999997</v>
      </c>
    </row>
    <row r="184" spans="1:2">
      <c r="B184">
        <v>128.41999999999999</v>
      </c>
    </row>
    <row r="185" spans="1:2">
      <c r="B185">
        <v>256.83999999999997</v>
      </c>
    </row>
    <row r="186" spans="1:2">
      <c r="B186">
        <v>128.41999999999999</v>
      </c>
    </row>
    <row r="187" spans="1:2">
      <c r="B187">
        <v>513.67999999999995</v>
      </c>
    </row>
    <row r="188" spans="1:2">
      <c r="B188">
        <v>642.09999999999991</v>
      </c>
    </row>
    <row r="189" spans="1:2">
      <c r="B189">
        <v>513.67999999999995</v>
      </c>
    </row>
    <row r="190" spans="1:2">
      <c r="B190">
        <v>385.26</v>
      </c>
    </row>
    <row r="191" spans="1:2">
      <c r="B191">
        <v>385.26</v>
      </c>
    </row>
    <row r="192" spans="1:2">
      <c r="B192">
        <v>128.41999999999999</v>
      </c>
    </row>
    <row r="193" spans="2:2">
      <c r="B193">
        <v>128.41999999999999</v>
      </c>
    </row>
    <row r="194" spans="2:2">
      <c r="B194">
        <v>256.83999999999997</v>
      </c>
    </row>
    <row r="195" spans="2:2">
      <c r="B195">
        <v>256.83999999999997</v>
      </c>
    </row>
    <row r="196" spans="2:2">
      <c r="B196">
        <v>642.09999999999991</v>
      </c>
    </row>
    <row r="197" spans="2:2">
      <c r="B197">
        <v>642.09999999999991</v>
      </c>
    </row>
    <row r="198" spans="2:2">
      <c r="B198">
        <v>385.26</v>
      </c>
    </row>
    <row r="199" spans="2:2">
      <c r="B199">
        <v>642.09999999999991</v>
      </c>
    </row>
    <row r="200" spans="2:2">
      <c r="B200">
        <v>128.41999999999999</v>
      </c>
    </row>
    <row r="201" spans="2:2">
      <c r="B201">
        <v>256.83999999999997</v>
      </c>
    </row>
    <row r="202" spans="2:2">
      <c r="B202">
        <v>128.41999999999999</v>
      </c>
    </row>
    <row r="203" spans="2:2">
      <c r="B203">
        <v>513.67999999999995</v>
      </c>
    </row>
    <row r="204" spans="2:2">
      <c r="B204">
        <v>256.83999999999997</v>
      </c>
    </row>
    <row r="205" spans="2:2">
      <c r="B205">
        <v>513.67999999999995</v>
      </c>
    </row>
    <row r="206" spans="2:2">
      <c r="B206">
        <v>110.36</v>
      </c>
    </row>
    <row r="207" spans="2:2">
      <c r="B207">
        <v>220.72</v>
      </c>
    </row>
    <row r="208" spans="2:2">
      <c r="B208">
        <v>220.72</v>
      </c>
    </row>
    <row r="209" spans="2:2">
      <c r="B209">
        <v>109.36</v>
      </c>
    </row>
    <row r="210" spans="2:2">
      <c r="B210">
        <v>537.25</v>
      </c>
    </row>
    <row r="211" spans="2:2">
      <c r="B211">
        <v>322.35000000000002</v>
      </c>
    </row>
    <row r="212" spans="2:2">
      <c r="B212">
        <v>537.25</v>
      </c>
    </row>
    <row r="213" spans="2:2">
      <c r="B213">
        <v>202.32</v>
      </c>
    </row>
    <row r="214" spans="2:2">
      <c r="B214">
        <v>353.16</v>
      </c>
    </row>
    <row r="215" spans="2:2">
      <c r="B215">
        <v>441.45000000000005</v>
      </c>
    </row>
    <row r="216" spans="2:2">
      <c r="B216">
        <v>88.29</v>
      </c>
    </row>
    <row r="217" spans="2:2">
      <c r="B217">
        <v>352.96</v>
      </c>
    </row>
    <row r="218" spans="2:2">
      <c r="B218">
        <v>334.5</v>
      </c>
    </row>
    <row r="219" spans="2:2">
      <c r="B219">
        <v>133.80000000000001</v>
      </c>
    </row>
    <row r="220" spans="2:2">
      <c r="B220">
        <v>64.02</v>
      </c>
    </row>
    <row r="221" spans="2:2">
      <c r="B221">
        <v>192.06</v>
      </c>
    </row>
    <row r="222" spans="2:2">
      <c r="B222">
        <v>64.02</v>
      </c>
    </row>
    <row r="223" spans="2:2">
      <c r="B223">
        <v>217.15</v>
      </c>
    </row>
    <row r="224" spans="2:2">
      <c r="B224">
        <v>119.44</v>
      </c>
    </row>
    <row r="225" spans="2:2">
      <c r="B225">
        <v>11.52</v>
      </c>
    </row>
  </sheetData>
  <mergeCells count="2">
    <mergeCell ref="A1:F1"/>
    <mergeCell ref="E3:G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C77BE-2754-4984-BDC5-A52F9D4A67EA}">
  <sheetPr codeName="Sheet2"/>
  <dimension ref="A1:B22"/>
  <sheetViews>
    <sheetView workbookViewId="0">
      <selection activeCell="F21" sqref="F21"/>
    </sheetView>
  </sheetViews>
  <sheetFormatPr defaultRowHeight="15"/>
  <cols>
    <col min="1" max="1" width="17.140625" customWidth="1"/>
  </cols>
  <sheetData>
    <row r="1" spans="1:2">
      <c r="A1" s="2" t="s">
        <v>237</v>
      </c>
    </row>
    <row r="2" spans="1:2">
      <c r="A2" t="s">
        <v>245</v>
      </c>
      <c r="B2" t="s">
        <v>246</v>
      </c>
    </row>
    <row r="3" spans="1:2">
      <c r="A3" t="s">
        <v>236</v>
      </c>
      <c r="B3">
        <v>902.62854984894284</v>
      </c>
    </row>
    <row r="4" spans="1:2">
      <c r="A4" t="s">
        <v>238</v>
      </c>
      <c r="B4">
        <v>460.7</v>
      </c>
    </row>
    <row r="5" spans="1:2">
      <c r="A5" t="s">
        <v>239</v>
      </c>
      <c r="B5">
        <v>256.83999999999997</v>
      </c>
    </row>
    <row r="6" spans="1:2">
      <c r="A6" t="s">
        <v>247</v>
      </c>
      <c r="B6">
        <v>1264.4130300093068</v>
      </c>
    </row>
    <row r="7" spans="1:2">
      <c r="A7" t="s">
        <v>241</v>
      </c>
      <c r="B7">
        <v>1598740.310457316</v>
      </c>
    </row>
    <row r="8" spans="1:2">
      <c r="A8" t="s">
        <v>242</v>
      </c>
      <c r="B8">
        <v>7.72</v>
      </c>
    </row>
    <row r="9" spans="1:2">
      <c r="A9" t="s">
        <v>243</v>
      </c>
      <c r="B9">
        <v>9303.4500000000007</v>
      </c>
    </row>
    <row r="10" spans="1:2">
      <c r="A10" t="s">
        <v>244</v>
      </c>
      <c r="B10">
        <v>9295.7300000000014</v>
      </c>
    </row>
    <row r="12" spans="1:2">
      <c r="A12" s="2" t="s">
        <v>249</v>
      </c>
    </row>
    <row r="13" spans="1:2">
      <c r="A13" t="s">
        <v>250</v>
      </c>
      <c r="B13">
        <v>3.3702370399090933</v>
      </c>
    </row>
    <row r="14" spans="1:2">
      <c r="A14" t="s">
        <v>251</v>
      </c>
      <c r="B14">
        <v>-66.863102657669856</v>
      </c>
    </row>
    <row r="15" spans="1:2">
      <c r="A15" t="s">
        <v>252</v>
      </c>
      <c r="B15">
        <v>0.75866187024181331</v>
      </c>
    </row>
    <row r="16" spans="1:2">
      <c r="A16" t="s">
        <v>257</v>
      </c>
      <c r="B16">
        <v>0.8710119805386225</v>
      </c>
    </row>
    <row r="17" spans="1:2">
      <c r="A17" t="s">
        <v>258</v>
      </c>
      <c r="B17" t="s">
        <v>259</v>
      </c>
    </row>
    <row r="19" spans="1:2">
      <c r="A19" s="2" t="s">
        <v>265</v>
      </c>
    </row>
    <row r="20" spans="1:2">
      <c r="A20" t="s">
        <v>261</v>
      </c>
      <c r="B20">
        <v>2416.278611111115</v>
      </c>
    </row>
    <row r="21" spans="1:2">
      <c r="A21" t="s">
        <v>262</v>
      </c>
      <c r="B21">
        <v>712.74636771300516</v>
      </c>
    </row>
    <row r="22" spans="1:2">
      <c r="A22" t="s">
        <v>263</v>
      </c>
      <c r="B22">
        <v>7.2667214709712541E-31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AE8F2-6FDF-4CC9-8D12-0F46DF6A9831}">
  <dimension ref="A1:M994"/>
  <sheetViews>
    <sheetView topLeftCell="A4" workbookViewId="0">
      <selection activeCell="G11" sqref="G11:H12"/>
    </sheetView>
  </sheetViews>
  <sheetFormatPr defaultRowHeight="15"/>
  <cols>
    <col min="1" max="1" width="8" bestFit="1" customWidth="1"/>
    <col min="2" max="2" width="8.7109375" bestFit="1" customWidth="1"/>
    <col min="3" max="3" width="13.5703125" bestFit="1" customWidth="1"/>
    <col min="4" max="4" width="15.140625" bestFit="1" customWidth="1"/>
    <col min="5" max="5" width="15.140625" style="36" customWidth="1"/>
    <col min="7" max="7" width="21.85546875" bestFit="1" customWidth="1"/>
    <col min="8" max="8" width="26.42578125" bestFit="1" customWidth="1"/>
    <col min="12" max="12" width="14.85546875" customWidth="1"/>
    <col min="13" max="13" width="23.42578125" customWidth="1"/>
  </cols>
  <sheetData>
    <row r="1" spans="1:13" ht="35.25" customHeight="1">
      <c r="A1" s="28" t="s">
        <v>5</v>
      </c>
      <c r="B1" s="28" t="s">
        <v>7</v>
      </c>
      <c r="C1" s="28" t="s">
        <v>8</v>
      </c>
      <c r="D1" s="28" t="s">
        <v>312</v>
      </c>
      <c r="E1" s="35" t="s">
        <v>322</v>
      </c>
      <c r="G1" s="53" t="s">
        <v>319</v>
      </c>
      <c r="H1" s="53"/>
      <c r="L1" s="52" t="s">
        <v>311</v>
      </c>
      <c r="M1" s="52"/>
    </row>
    <row r="2" spans="1:13">
      <c r="A2">
        <v>2011.63</v>
      </c>
      <c r="B2">
        <v>4</v>
      </c>
      <c r="C2">
        <v>8046.52</v>
      </c>
      <c r="D2">
        <f>A2*B2</f>
        <v>8046.52</v>
      </c>
      <c r="E2" s="36">
        <f>$G$7 * D2 + $H$7</f>
        <v>8046.5199999999904</v>
      </c>
    </row>
    <row r="3" spans="1:13">
      <c r="A3">
        <v>1860.69</v>
      </c>
      <c r="B3">
        <v>5</v>
      </c>
      <c r="C3">
        <v>9303.4500000000007</v>
      </c>
      <c r="D3">
        <f t="shared" ref="D3:D66" si="0">A3*B3</f>
        <v>9303.4500000000007</v>
      </c>
      <c r="E3" s="36">
        <f t="shared" ref="E3:E66" si="1">$G$7 * D3 + $H$7</f>
        <v>9303.4499999999898</v>
      </c>
      <c r="G3" s="32" t="s">
        <v>313</v>
      </c>
      <c r="H3" s="32" t="s">
        <v>314</v>
      </c>
      <c r="L3" s="12" t="s">
        <v>268</v>
      </c>
      <c r="M3" t="s">
        <v>270</v>
      </c>
    </row>
    <row r="4" spans="1:13">
      <c r="A4">
        <v>1665.36</v>
      </c>
      <c r="B4">
        <v>3</v>
      </c>
      <c r="C4">
        <v>4996.08</v>
      </c>
      <c r="D4">
        <f t="shared" si="0"/>
        <v>4996.08</v>
      </c>
      <c r="E4" s="36">
        <f t="shared" si="1"/>
        <v>4996.0799999999945</v>
      </c>
      <c r="G4" s="32" t="s">
        <v>315</v>
      </c>
      <c r="H4" s="32" t="s">
        <v>316</v>
      </c>
      <c r="L4" s="27">
        <v>43770</v>
      </c>
      <c r="M4">
        <v>65208.659999999996</v>
      </c>
    </row>
    <row r="5" spans="1:13">
      <c r="A5">
        <v>1665.36</v>
      </c>
      <c r="B5">
        <v>1</v>
      </c>
      <c r="C5">
        <v>1665.36</v>
      </c>
      <c r="D5">
        <f t="shared" si="0"/>
        <v>1665.36</v>
      </c>
      <c r="E5" s="36">
        <f t="shared" si="1"/>
        <v>1665.3599999999988</v>
      </c>
      <c r="G5" s="32" t="s">
        <v>317</v>
      </c>
      <c r="H5" s="32" t="s">
        <v>318</v>
      </c>
      <c r="L5" s="27">
        <v>43771</v>
      </c>
      <c r="M5">
        <v>57899.080000000016</v>
      </c>
    </row>
    <row r="6" spans="1:13">
      <c r="A6">
        <v>1665.36</v>
      </c>
      <c r="B6">
        <v>5</v>
      </c>
      <c r="C6">
        <v>8326.7999999999993</v>
      </c>
      <c r="D6">
        <f t="shared" si="0"/>
        <v>8326.7999999999993</v>
      </c>
      <c r="E6" s="36">
        <f t="shared" si="1"/>
        <v>8326.7999999999902</v>
      </c>
      <c r="L6" s="27">
        <v>43772</v>
      </c>
      <c r="M6">
        <v>79972.719999999987</v>
      </c>
    </row>
    <row r="7" spans="1:13">
      <c r="A7">
        <v>1665.36</v>
      </c>
      <c r="B7">
        <v>1</v>
      </c>
      <c r="C7">
        <v>1665.36</v>
      </c>
      <c r="D7">
        <f t="shared" si="0"/>
        <v>1665.36</v>
      </c>
      <c r="E7" s="36">
        <f t="shared" si="1"/>
        <v>1665.3599999999988</v>
      </c>
      <c r="G7" s="33">
        <f t="array" ref="G7:H9">LINEST(C2:C994, D2:D994, TRUE, TRUE)</f>
        <v>0.99999999999999867</v>
      </c>
      <c r="H7" s="33">
        <v>1.2505552149377763E-12</v>
      </c>
      <c r="L7" s="27">
        <v>43773</v>
      </c>
      <c r="M7">
        <v>62292.45</v>
      </c>
    </row>
    <row r="8" spans="1:13">
      <c r="A8">
        <v>1665.36</v>
      </c>
      <c r="B8">
        <v>4</v>
      </c>
      <c r="C8">
        <v>6661.44</v>
      </c>
      <c r="D8">
        <f t="shared" si="0"/>
        <v>6661.44</v>
      </c>
      <c r="E8" s="36">
        <f t="shared" si="1"/>
        <v>6661.4399999999914</v>
      </c>
      <c r="G8" s="33">
        <v>3.1318233810946771E-17</v>
      </c>
      <c r="H8" s="33">
        <v>4.8654049102306433E-14</v>
      </c>
      <c r="L8" s="27">
        <v>43774</v>
      </c>
      <c r="M8">
        <v>49602.53</v>
      </c>
    </row>
    <row r="9" spans="1:13">
      <c r="A9">
        <v>1583.48</v>
      </c>
      <c r="B9">
        <v>5</v>
      </c>
      <c r="C9">
        <v>7917.4</v>
      </c>
      <c r="D9">
        <f t="shared" si="0"/>
        <v>7917.4</v>
      </c>
      <c r="E9" s="36">
        <f t="shared" si="1"/>
        <v>7917.3999999999896</v>
      </c>
      <c r="G9" s="33">
        <v>1</v>
      </c>
      <c r="H9" s="33">
        <v>1.2478455913807034E-12</v>
      </c>
      <c r="L9" s="27">
        <v>43775</v>
      </c>
      <c r="M9">
        <v>72180.729999999967</v>
      </c>
    </row>
    <row r="10" spans="1:13">
      <c r="A10">
        <v>1583.48</v>
      </c>
      <c r="B10">
        <v>3</v>
      </c>
      <c r="C10">
        <v>4750.4400000000005</v>
      </c>
      <c r="D10">
        <f t="shared" si="0"/>
        <v>4750.4400000000005</v>
      </c>
      <c r="E10" s="36">
        <f t="shared" si="1"/>
        <v>4750.4399999999951</v>
      </c>
      <c r="L10" s="27">
        <v>43776</v>
      </c>
      <c r="M10">
        <v>56966.83</v>
      </c>
    </row>
    <row r="11" spans="1:13">
      <c r="A11">
        <v>1549.07</v>
      </c>
      <c r="B11">
        <v>5</v>
      </c>
      <c r="C11">
        <v>7745.3499999999995</v>
      </c>
      <c r="D11">
        <f t="shared" si="0"/>
        <v>7745.3499999999995</v>
      </c>
      <c r="E11" s="36">
        <f t="shared" si="1"/>
        <v>7745.3499999999904</v>
      </c>
      <c r="G11" s="30" t="s">
        <v>320</v>
      </c>
      <c r="H11" s="29"/>
      <c r="L11" s="27">
        <v>43777</v>
      </c>
      <c r="M11">
        <v>42855.950000000026</v>
      </c>
    </row>
    <row r="12" spans="1:13">
      <c r="A12">
        <v>1455.57</v>
      </c>
      <c r="B12">
        <v>5</v>
      </c>
      <c r="C12">
        <v>7277.8499999999995</v>
      </c>
      <c r="D12">
        <f t="shared" si="0"/>
        <v>7277.8499999999995</v>
      </c>
      <c r="E12" s="36">
        <f t="shared" si="1"/>
        <v>7277.8499999999904</v>
      </c>
      <c r="G12" s="31" t="s">
        <v>321</v>
      </c>
      <c r="H12" s="34"/>
      <c r="L12" s="27">
        <v>43778</v>
      </c>
      <c r="M12">
        <v>68142.189999999988</v>
      </c>
    </row>
    <row r="13" spans="1:13">
      <c r="A13">
        <v>1527.68</v>
      </c>
      <c r="B13">
        <v>2</v>
      </c>
      <c r="C13">
        <v>3055.36</v>
      </c>
      <c r="D13">
        <f t="shared" si="0"/>
        <v>3055.36</v>
      </c>
      <c r="E13" s="36">
        <f t="shared" si="1"/>
        <v>3055.3599999999974</v>
      </c>
      <c r="L13" s="27">
        <v>43779</v>
      </c>
      <c r="M13">
        <v>57159.73000000001</v>
      </c>
    </row>
    <row r="14" spans="1:13">
      <c r="A14">
        <v>1455.57</v>
      </c>
      <c r="B14">
        <v>4</v>
      </c>
      <c r="C14">
        <v>5822.28</v>
      </c>
      <c r="D14">
        <f t="shared" si="0"/>
        <v>5822.28</v>
      </c>
      <c r="E14" s="36">
        <f t="shared" si="1"/>
        <v>5822.2799999999925</v>
      </c>
      <c r="L14" s="27">
        <v>43780</v>
      </c>
      <c r="M14">
        <v>56861.69</v>
      </c>
    </row>
    <row r="15" spans="1:13">
      <c r="A15">
        <v>1348.61</v>
      </c>
      <c r="B15">
        <v>1</v>
      </c>
      <c r="C15">
        <v>1348.61</v>
      </c>
      <c r="D15">
        <f t="shared" si="0"/>
        <v>1348.61</v>
      </c>
      <c r="E15" s="36">
        <f t="shared" si="1"/>
        <v>1348.6099999999992</v>
      </c>
      <c r="L15" s="27">
        <v>43781</v>
      </c>
      <c r="M15">
        <v>45120.76999999999</v>
      </c>
    </row>
    <row r="16" spans="1:13">
      <c r="A16">
        <v>1348.61</v>
      </c>
      <c r="B16">
        <v>1</v>
      </c>
      <c r="C16">
        <v>1348.61</v>
      </c>
      <c r="D16">
        <f t="shared" si="0"/>
        <v>1348.61</v>
      </c>
      <c r="E16" s="36">
        <f t="shared" si="1"/>
        <v>1348.6099999999992</v>
      </c>
      <c r="G16" s="54" t="s">
        <v>325</v>
      </c>
      <c r="H16" s="55"/>
      <c r="L16" s="27">
        <v>43782</v>
      </c>
      <c r="M16">
        <v>75193.509999999966</v>
      </c>
    </row>
    <row r="17" spans="1:13">
      <c r="A17">
        <v>1348.61</v>
      </c>
      <c r="B17">
        <v>5</v>
      </c>
      <c r="C17">
        <v>6743.0499999999993</v>
      </c>
      <c r="D17">
        <f t="shared" si="0"/>
        <v>6743.0499999999993</v>
      </c>
      <c r="E17" s="36">
        <f t="shared" si="1"/>
        <v>6743.0499999999911</v>
      </c>
      <c r="G17" s="38" t="s">
        <v>323</v>
      </c>
      <c r="H17" s="38" t="s">
        <v>324</v>
      </c>
      <c r="L17" s="27">
        <v>43783</v>
      </c>
      <c r="M17">
        <v>52262.290000000023</v>
      </c>
    </row>
    <row r="18" spans="1:13">
      <c r="A18">
        <v>1348.61</v>
      </c>
      <c r="B18">
        <v>2</v>
      </c>
      <c r="C18">
        <v>2697.22</v>
      </c>
      <c r="D18">
        <f t="shared" si="0"/>
        <v>2697.22</v>
      </c>
      <c r="E18" s="36">
        <f t="shared" si="1"/>
        <v>2697.2199999999975</v>
      </c>
      <c r="G18" s="38">
        <v>0</v>
      </c>
      <c r="H18" s="38">
        <v>0</v>
      </c>
      <c r="L18" s="27">
        <v>43784</v>
      </c>
      <c r="M18">
        <v>54591.020000000011</v>
      </c>
    </row>
    <row r="19" spans="1:13">
      <c r="A19">
        <v>1348.61</v>
      </c>
      <c r="B19">
        <v>4</v>
      </c>
      <c r="C19">
        <v>5394.44</v>
      </c>
      <c r="D19">
        <f t="shared" si="0"/>
        <v>5394.44</v>
      </c>
      <c r="E19" s="36">
        <f t="shared" si="1"/>
        <v>5394.4399999999932</v>
      </c>
      <c r="G19" s="38">
        <v>10000</v>
      </c>
      <c r="H19" s="38">
        <v>10000</v>
      </c>
      <c r="L19" s="27" t="s">
        <v>269</v>
      </c>
      <c r="M19">
        <v>896310.15000000014</v>
      </c>
    </row>
    <row r="20" spans="1:13">
      <c r="A20">
        <v>1348.61</v>
      </c>
      <c r="B20">
        <v>5</v>
      </c>
      <c r="C20">
        <v>6743.0499999999993</v>
      </c>
      <c r="D20">
        <f t="shared" si="0"/>
        <v>6743.0499999999993</v>
      </c>
      <c r="E20" s="36">
        <f t="shared" si="1"/>
        <v>6743.0499999999911</v>
      </c>
    </row>
    <row r="21" spans="1:13">
      <c r="A21">
        <v>1348.61</v>
      </c>
      <c r="B21">
        <v>2</v>
      </c>
      <c r="C21">
        <v>2697.22</v>
      </c>
      <c r="D21">
        <f t="shared" si="0"/>
        <v>2697.22</v>
      </c>
      <c r="E21" s="36">
        <f t="shared" si="1"/>
        <v>2697.2199999999975</v>
      </c>
    </row>
    <row r="22" spans="1:13">
      <c r="A22">
        <v>1348.61</v>
      </c>
      <c r="B22">
        <v>4</v>
      </c>
      <c r="C22">
        <v>5394.44</v>
      </c>
      <c r="D22">
        <f t="shared" si="0"/>
        <v>5394.44</v>
      </c>
      <c r="E22" s="36">
        <f t="shared" si="1"/>
        <v>5394.4399999999932</v>
      </c>
    </row>
    <row r="23" spans="1:13">
      <c r="A23">
        <v>1348.61</v>
      </c>
      <c r="B23">
        <v>5</v>
      </c>
      <c r="C23">
        <v>6743.0499999999993</v>
      </c>
      <c r="D23">
        <f t="shared" si="0"/>
        <v>6743.0499999999993</v>
      </c>
      <c r="E23" s="36">
        <f t="shared" si="1"/>
        <v>6743.0499999999911</v>
      </c>
    </row>
    <row r="24" spans="1:13">
      <c r="A24">
        <v>1348.61</v>
      </c>
      <c r="B24">
        <v>5</v>
      </c>
      <c r="C24">
        <v>6743.0499999999993</v>
      </c>
      <c r="D24">
        <f t="shared" si="0"/>
        <v>6743.0499999999993</v>
      </c>
      <c r="E24" s="36">
        <f t="shared" si="1"/>
        <v>6743.0499999999911</v>
      </c>
    </row>
    <row r="25" spans="1:13">
      <c r="A25">
        <v>1348.61</v>
      </c>
      <c r="B25">
        <v>4</v>
      </c>
      <c r="C25">
        <v>5394.44</v>
      </c>
      <c r="D25">
        <f t="shared" si="0"/>
        <v>5394.44</v>
      </c>
      <c r="E25" s="36">
        <f t="shared" si="1"/>
        <v>5394.4399999999932</v>
      </c>
    </row>
    <row r="26" spans="1:13">
      <c r="A26">
        <v>1348.61</v>
      </c>
      <c r="B26">
        <v>4</v>
      </c>
      <c r="C26">
        <v>5394.44</v>
      </c>
      <c r="D26">
        <f t="shared" si="0"/>
        <v>5394.44</v>
      </c>
      <c r="E26" s="36">
        <f t="shared" si="1"/>
        <v>5394.4399999999932</v>
      </c>
    </row>
    <row r="27" spans="1:13">
      <c r="A27">
        <v>1337.23</v>
      </c>
      <c r="B27">
        <v>4</v>
      </c>
      <c r="C27">
        <v>5348.92</v>
      </c>
      <c r="D27">
        <f t="shared" si="0"/>
        <v>5348.92</v>
      </c>
      <c r="E27" s="36">
        <f t="shared" si="1"/>
        <v>5348.9199999999937</v>
      </c>
    </row>
    <row r="28" spans="1:13">
      <c r="A28">
        <v>1337.23</v>
      </c>
      <c r="B28">
        <v>5</v>
      </c>
      <c r="C28">
        <v>6686.15</v>
      </c>
      <c r="D28">
        <f t="shared" si="0"/>
        <v>6686.15</v>
      </c>
      <c r="E28" s="36">
        <f t="shared" si="1"/>
        <v>6686.1499999999915</v>
      </c>
    </row>
    <row r="29" spans="1:13">
      <c r="A29">
        <v>1182.3699999999999</v>
      </c>
      <c r="B29">
        <v>4</v>
      </c>
      <c r="C29">
        <v>4729.4799999999996</v>
      </c>
      <c r="D29">
        <f t="shared" si="0"/>
        <v>4729.4799999999996</v>
      </c>
      <c r="E29" s="36">
        <f t="shared" si="1"/>
        <v>4729.4799999999941</v>
      </c>
    </row>
    <row r="30" spans="1:13">
      <c r="A30">
        <v>1281.96</v>
      </c>
      <c r="B30">
        <v>2</v>
      </c>
      <c r="C30">
        <v>2563.92</v>
      </c>
      <c r="D30">
        <f t="shared" si="0"/>
        <v>2563.92</v>
      </c>
      <c r="E30" s="36">
        <f t="shared" si="1"/>
        <v>2563.9199999999978</v>
      </c>
    </row>
    <row r="31" spans="1:13">
      <c r="A31">
        <v>1106.5899999999999</v>
      </c>
      <c r="B31">
        <v>5</v>
      </c>
      <c r="C31">
        <v>5532.95</v>
      </c>
      <c r="D31">
        <f t="shared" si="0"/>
        <v>5532.95</v>
      </c>
      <c r="E31" s="36">
        <f t="shared" si="1"/>
        <v>5532.9499999999935</v>
      </c>
    </row>
    <row r="32" spans="1:13">
      <c r="A32">
        <v>1147.26</v>
      </c>
      <c r="B32">
        <v>2</v>
      </c>
      <c r="C32">
        <v>2294.52</v>
      </c>
      <c r="D32">
        <f t="shared" si="0"/>
        <v>2294.52</v>
      </c>
      <c r="E32" s="36">
        <f t="shared" si="1"/>
        <v>2294.5199999999982</v>
      </c>
    </row>
    <row r="33" spans="1:5">
      <c r="A33">
        <v>1027.5899999999999</v>
      </c>
      <c r="B33">
        <v>2</v>
      </c>
      <c r="C33">
        <v>2055.1799999999998</v>
      </c>
      <c r="D33">
        <f t="shared" si="0"/>
        <v>2055.1799999999998</v>
      </c>
      <c r="E33" s="36">
        <f t="shared" si="1"/>
        <v>2055.1799999999985</v>
      </c>
    </row>
    <row r="34" spans="1:5">
      <c r="A34">
        <v>1027.44</v>
      </c>
      <c r="B34">
        <v>4</v>
      </c>
      <c r="C34">
        <v>4109.76</v>
      </c>
      <c r="D34">
        <f t="shared" si="0"/>
        <v>4109.76</v>
      </c>
      <c r="E34" s="36">
        <f t="shared" si="1"/>
        <v>4109.7599999999957</v>
      </c>
    </row>
    <row r="35" spans="1:5">
      <c r="A35">
        <v>1013.86</v>
      </c>
      <c r="B35">
        <v>4</v>
      </c>
      <c r="C35">
        <v>4055.44</v>
      </c>
      <c r="D35">
        <f t="shared" si="0"/>
        <v>4055.44</v>
      </c>
      <c r="E35" s="36">
        <f t="shared" si="1"/>
        <v>4055.439999999996</v>
      </c>
    </row>
    <row r="36" spans="1:5">
      <c r="A36">
        <v>1013.86</v>
      </c>
      <c r="B36">
        <v>3</v>
      </c>
      <c r="C36">
        <v>3041.58</v>
      </c>
      <c r="D36">
        <f t="shared" si="0"/>
        <v>3041.58</v>
      </c>
      <c r="E36" s="36">
        <f t="shared" si="1"/>
        <v>3041.5799999999972</v>
      </c>
    </row>
    <row r="37" spans="1:5">
      <c r="A37">
        <v>1013.86</v>
      </c>
      <c r="B37">
        <v>4</v>
      </c>
      <c r="C37">
        <v>4055.44</v>
      </c>
      <c r="D37">
        <f t="shared" si="0"/>
        <v>4055.44</v>
      </c>
      <c r="E37" s="36">
        <f t="shared" si="1"/>
        <v>4055.439999999996</v>
      </c>
    </row>
    <row r="38" spans="1:5">
      <c r="A38">
        <v>1013.86</v>
      </c>
      <c r="B38">
        <v>4</v>
      </c>
      <c r="C38">
        <v>4055.44</v>
      </c>
      <c r="D38">
        <f t="shared" si="0"/>
        <v>4055.44</v>
      </c>
      <c r="E38" s="36">
        <f t="shared" si="1"/>
        <v>4055.439999999996</v>
      </c>
    </row>
    <row r="39" spans="1:5">
      <c r="A39">
        <v>1013.86</v>
      </c>
      <c r="B39">
        <v>3</v>
      </c>
      <c r="C39">
        <v>3041.58</v>
      </c>
      <c r="D39">
        <f t="shared" si="0"/>
        <v>3041.58</v>
      </c>
      <c r="E39" s="36">
        <f t="shared" si="1"/>
        <v>3041.5799999999972</v>
      </c>
    </row>
    <row r="40" spans="1:5">
      <c r="A40">
        <v>1003.63</v>
      </c>
      <c r="B40">
        <v>3</v>
      </c>
      <c r="C40">
        <v>3010.89</v>
      </c>
      <c r="D40">
        <f t="shared" si="0"/>
        <v>3010.89</v>
      </c>
      <c r="E40" s="36">
        <f t="shared" si="1"/>
        <v>3010.8899999999971</v>
      </c>
    </row>
    <row r="41" spans="1:5">
      <c r="A41">
        <v>977.3</v>
      </c>
      <c r="B41">
        <v>4</v>
      </c>
      <c r="C41">
        <v>3909.2</v>
      </c>
      <c r="D41">
        <f t="shared" si="0"/>
        <v>3909.2</v>
      </c>
      <c r="E41" s="36">
        <f t="shared" si="1"/>
        <v>3909.1999999999962</v>
      </c>
    </row>
    <row r="42" spans="1:5">
      <c r="A42">
        <v>977.3</v>
      </c>
      <c r="B42">
        <v>5</v>
      </c>
      <c r="C42">
        <v>4886.5</v>
      </c>
      <c r="D42">
        <f t="shared" si="0"/>
        <v>4886.5</v>
      </c>
      <c r="E42" s="36">
        <f t="shared" si="1"/>
        <v>4886.4999999999945</v>
      </c>
    </row>
    <row r="43" spans="1:5">
      <c r="A43">
        <v>977.3</v>
      </c>
      <c r="B43">
        <v>3</v>
      </c>
      <c r="C43">
        <v>2931.8999999999996</v>
      </c>
      <c r="D43">
        <f t="shared" si="0"/>
        <v>2931.8999999999996</v>
      </c>
      <c r="E43" s="36">
        <f t="shared" si="1"/>
        <v>2931.8999999999969</v>
      </c>
    </row>
    <row r="44" spans="1:5">
      <c r="A44">
        <v>980.46</v>
      </c>
      <c r="B44">
        <v>4</v>
      </c>
      <c r="C44">
        <v>3921.84</v>
      </c>
      <c r="D44">
        <f t="shared" si="0"/>
        <v>3921.84</v>
      </c>
      <c r="E44" s="36">
        <f t="shared" si="1"/>
        <v>3921.8399999999965</v>
      </c>
    </row>
    <row r="45" spans="1:5">
      <c r="A45">
        <v>977.89</v>
      </c>
      <c r="B45">
        <v>1</v>
      </c>
      <c r="C45">
        <v>977.89</v>
      </c>
      <c r="D45">
        <f t="shared" si="0"/>
        <v>977.89</v>
      </c>
      <c r="E45" s="36">
        <f t="shared" si="1"/>
        <v>977.89</v>
      </c>
    </row>
    <row r="46" spans="1:5">
      <c r="A46">
        <v>976.82</v>
      </c>
      <c r="B46">
        <v>5</v>
      </c>
      <c r="C46">
        <v>4884.1000000000004</v>
      </c>
      <c r="D46">
        <f t="shared" si="0"/>
        <v>4884.1000000000004</v>
      </c>
      <c r="E46" s="36">
        <f t="shared" si="1"/>
        <v>4884.0999999999949</v>
      </c>
    </row>
    <row r="47" spans="1:5">
      <c r="A47">
        <v>973.41</v>
      </c>
      <c r="B47">
        <v>1</v>
      </c>
      <c r="C47">
        <v>973.41</v>
      </c>
      <c r="D47">
        <f t="shared" si="0"/>
        <v>973.41</v>
      </c>
      <c r="E47" s="36">
        <f t="shared" si="1"/>
        <v>973.41</v>
      </c>
    </row>
    <row r="48" spans="1:5">
      <c r="A48">
        <v>973.41</v>
      </c>
      <c r="B48">
        <v>1</v>
      </c>
      <c r="C48">
        <v>973.41</v>
      </c>
      <c r="D48">
        <f t="shared" si="0"/>
        <v>973.41</v>
      </c>
      <c r="E48" s="36">
        <f t="shared" si="1"/>
        <v>973.41</v>
      </c>
    </row>
    <row r="49" spans="1:5">
      <c r="A49">
        <v>949.47</v>
      </c>
      <c r="B49">
        <v>5</v>
      </c>
      <c r="C49">
        <v>4747.3500000000004</v>
      </c>
      <c r="D49">
        <f t="shared" si="0"/>
        <v>4747.3500000000004</v>
      </c>
      <c r="E49" s="36">
        <f t="shared" si="1"/>
        <v>4747.3499999999949</v>
      </c>
    </row>
    <row r="50" spans="1:5">
      <c r="A50">
        <v>949.47</v>
      </c>
      <c r="B50">
        <v>1</v>
      </c>
      <c r="C50">
        <v>949.47</v>
      </c>
      <c r="D50">
        <f t="shared" si="0"/>
        <v>949.47</v>
      </c>
      <c r="E50" s="36">
        <f t="shared" si="1"/>
        <v>949.47</v>
      </c>
    </row>
    <row r="51" spans="1:5">
      <c r="A51">
        <v>949.47</v>
      </c>
      <c r="B51">
        <v>3</v>
      </c>
      <c r="C51">
        <v>2848.41</v>
      </c>
      <c r="D51">
        <f t="shared" si="0"/>
        <v>2848.41</v>
      </c>
      <c r="E51" s="36">
        <f t="shared" si="1"/>
        <v>2848.4099999999976</v>
      </c>
    </row>
    <row r="52" spans="1:5">
      <c r="A52">
        <v>952.15</v>
      </c>
      <c r="B52">
        <v>3</v>
      </c>
      <c r="C52">
        <v>2856.45</v>
      </c>
      <c r="D52">
        <f t="shared" si="0"/>
        <v>2856.45</v>
      </c>
      <c r="E52" s="36">
        <f t="shared" si="1"/>
        <v>2856.4499999999975</v>
      </c>
    </row>
    <row r="53" spans="1:5">
      <c r="A53">
        <v>949.47</v>
      </c>
      <c r="B53">
        <v>2</v>
      </c>
      <c r="C53">
        <v>1898.94</v>
      </c>
      <c r="D53">
        <f t="shared" si="0"/>
        <v>1898.94</v>
      </c>
      <c r="E53" s="36">
        <f t="shared" si="1"/>
        <v>1898.9399999999987</v>
      </c>
    </row>
    <row r="54" spans="1:5">
      <c r="A54">
        <v>949.47</v>
      </c>
      <c r="B54">
        <v>4</v>
      </c>
      <c r="C54">
        <v>3797.88</v>
      </c>
      <c r="D54">
        <f t="shared" si="0"/>
        <v>3797.88</v>
      </c>
      <c r="E54" s="36">
        <f t="shared" si="1"/>
        <v>3797.8799999999965</v>
      </c>
    </row>
    <row r="55" spans="1:5">
      <c r="A55">
        <v>949.47</v>
      </c>
      <c r="B55">
        <v>5</v>
      </c>
      <c r="C55">
        <v>4747.3500000000004</v>
      </c>
      <c r="D55">
        <f t="shared" si="0"/>
        <v>4747.3500000000004</v>
      </c>
      <c r="E55" s="36">
        <f t="shared" si="1"/>
        <v>4747.3499999999949</v>
      </c>
    </row>
    <row r="56" spans="1:5">
      <c r="A56">
        <v>949.47</v>
      </c>
      <c r="B56">
        <v>2</v>
      </c>
      <c r="C56">
        <v>1898.94</v>
      </c>
      <c r="D56">
        <f t="shared" si="0"/>
        <v>1898.94</v>
      </c>
      <c r="E56" s="36">
        <f t="shared" si="1"/>
        <v>1898.9399999999987</v>
      </c>
    </row>
    <row r="57" spans="1:5">
      <c r="A57">
        <v>949.47</v>
      </c>
      <c r="B57">
        <v>1</v>
      </c>
      <c r="C57">
        <v>949.47</v>
      </c>
      <c r="D57">
        <f t="shared" si="0"/>
        <v>949.47</v>
      </c>
      <c r="E57" s="36">
        <f t="shared" si="1"/>
        <v>949.47</v>
      </c>
    </row>
    <row r="58" spans="1:5">
      <c r="A58">
        <v>949.47</v>
      </c>
      <c r="B58">
        <v>2</v>
      </c>
      <c r="C58">
        <v>1898.94</v>
      </c>
      <c r="D58">
        <f t="shared" si="0"/>
        <v>1898.94</v>
      </c>
      <c r="E58" s="36">
        <f t="shared" si="1"/>
        <v>1898.9399999999987</v>
      </c>
    </row>
    <row r="59" spans="1:5">
      <c r="A59">
        <v>949.47</v>
      </c>
      <c r="B59">
        <v>4</v>
      </c>
      <c r="C59">
        <v>3797.88</v>
      </c>
      <c r="D59">
        <f t="shared" si="0"/>
        <v>3797.88</v>
      </c>
      <c r="E59" s="36">
        <f t="shared" si="1"/>
        <v>3797.8799999999965</v>
      </c>
    </row>
    <row r="60" spans="1:5">
      <c r="A60">
        <v>949.47</v>
      </c>
      <c r="B60">
        <v>3</v>
      </c>
      <c r="C60">
        <v>2848.41</v>
      </c>
      <c r="D60">
        <f t="shared" si="0"/>
        <v>2848.41</v>
      </c>
      <c r="E60" s="36">
        <f t="shared" si="1"/>
        <v>2848.4099999999976</v>
      </c>
    </row>
    <row r="61" spans="1:5">
      <c r="A61">
        <v>949.47</v>
      </c>
      <c r="B61">
        <v>3</v>
      </c>
      <c r="C61">
        <v>2848.41</v>
      </c>
      <c r="D61">
        <f t="shared" si="0"/>
        <v>2848.41</v>
      </c>
      <c r="E61" s="36">
        <f t="shared" si="1"/>
        <v>2848.4099999999976</v>
      </c>
    </row>
    <row r="62" spans="1:5">
      <c r="A62">
        <v>949.47</v>
      </c>
      <c r="B62">
        <v>5</v>
      </c>
      <c r="C62">
        <v>4747.3500000000004</v>
      </c>
      <c r="D62">
        <f t="shared" si="0"/>
        <v>4747.3500000000004</v>
      </c>
      <c r="E62" s="36">
        <f t="shared" si="1"/>
        <v>4747.3499999999949</v>
      </c>
    </row>
    <row r="63" spans="1:5">
      <c r="A63">
        <v>949.47</v>
      </c>
      <c r="B63">
        <v>3</v>
      </c>
      <c r="C63">
        <v>2848.41</v>
      </c>
      <c r="D63">
        <f t="shared" si="0"/>
        <v>2848.41</v>
      </c>
      <c r="E63" s="36">
        <f t="shared" si="1"/>
        <v>2848.4099999999976</v>
      </c>
    </row>
    <row r="64" spans="1:5">
      <c r="A64">
        <v>949.47</v>
      </c>
      <c r="B64">
        <v>1</v>
      </c>
      <c r="C64">
        <v>949.47</v>
      </c>
      <c r="D64">
        <f t="shared" si="0"/>
        <v>949.47</v>
      </c>
      <c r="E64" s="36">
        <f t="shared" si="1"/>
        <v>949.47</v>
      </c>
    </row>
    <row r="65" spans="1:5">
      <c r="A65">
        <v>949.47</v>
      </c>
      <c r="B65">
        <v>5</v>
      </c>
      <c r="C65">
        <v>4747.3500000000004</v>
      </c>
      <c r="D65">
        <f t="shared" si="0"/>
        <v>4747.3500000000004</v>
      </c>
      <c r="E65" s="36">
        <f t="shared" si="1"/>
        <v>4747.3499999999949</v>
      </c>
    </row>
    <row r="66" spans="1:5">
      <c r="A66">
        <v>949.47</v>
      </c>
      <c r="B66">
        <v>5</v>
      </c>
      <c r="C66">
        <v>4747.3500000000004</v>
      </c>
      <c r="D66">
        <f t="shared" si="0"/>
        <v>4747.3500000000004</v>
      </c>
      <c r="E66" s="36">
        <f t="shared" si="1"/>
        <v>4747.3499999999949</v>
      </c>
    </row>
    <row r="67" spans="1:5">
      <c r="A67">
        <v>949.47</v>
      </c>
      <c r="B67">
        <v>5</v>
      </c>
      <c r="C67">
        <v>4747.3500000000004</v>
      </c>
      <c r="D67">
        <f t="shared" ref="D67:D130" si="2">A67*B67</f>
        <v>4747.3500000000004</v>
      </c>
      <c r="E67" s="36">
        <f t="shared" ref="E67:E130" si="3">$G$7 * D67 + $H$7</f>
        <v>4747.3499999999949</v>
      </c>
    </row>
    <row r="68" spans="1:5">
      <c r="A68">
        <v>949.47</v>
      </c>
      <c r="B68">
        <v>4</v>
      </c>
      <c r="C68">
        <v>3797.88</v>
      </c>
      <c r="D68">
        <f t="shared" si="2"/>
        <v>3797.88</v>
      </c>
      <c r="E68" s="36">
        <f t="shared" si="3"/>
        <v>3797.8799999999965</v>
      </c>
    </row>
    <row r="69" spans="1:5">
      <c r="A69">
        <v>949.47</v>
      </c>
      <c r="B69">
        <v>5</v>
      </c>
      <c r="C69">
        <v>4747.3500000000004</v>
      </c>
      <c r="D69">
        <f t="shared" si="2"/>
        <v>4747.3500000000004</v>
      </c>
      <c r="E69" s="36">
        <f t="shared" si="3"/>
        <v>4747.3499999999949</v>
      </c>
    </row>
    <row r="70" spans="1:5">
      <c r="A70">
        <v>949.47</v>
      </c>
      <c r="B70">
        <v>4</v>
      </c>
      <c r="C70">
        <v>3797.88</v>
      </c>
      <c r="D70">
        <f t="shared" si="2"/>
        <v>3797.88</v>
      </c>
      <c r="E70" s="36">
        <f t="shared" si="3"/>
        <v>3797.8799999999965</v>
      </c>
    </row>
    <row r="71" spans="1:5">
      <c r="A71">
        <v>949.47</v>
      </c>
      <c r="B71">
        <v>3</v>
      </c>
      <c r="C71">
        <v>2848.41</v>
      </c>
      <c r="D71">
        <f t="shared" si="2"/>
        <v>2848.41</v>
      </c>
      <c r="E71" s="36">
        <f t="shared" si="3"/>
        <v>2848.4099999999976</v>
      </c>
    </row>
    <row r="72" spans="1:5">
      <c r="A72">
        <v>949.47</v>
      </c>
      <c r="B72">
        <v>5</v>
      </c>
      <c r="C72">
        <v>4747.3500000000004</v>
      </c>
      <c r="D72">
        <f t="shared" si="2"/>
        <v>4747.3500000000004</v>
      </c>
      <c r="E72" s="36">
        <f t="shared" si="3"/>
        <v>4747.3499999999949</v>
      </c>
    </row>
    <row r="73" spans="1:5">
      <c r="A73">
        <v>949.47</v>
      </c>
      <c r="B73">
        <v>4</v>
      </c>
      <c r="C73">
        <v>3797.88</v>
      </c>
      <c r="D73">
        <f t="shared" si="2"/>
        <v>3797.88</v>
      </c>
      <c r="E73" s="36">
        <f t="shared" si="3"/>
        <v>3797.8799999999965</v>
      </c>
    </row>
    <row r="74" spans="1:5">
      <c r="A74">
        <v>949.47</v>
      </c>
      <c r="B74">
        <v>1</v>
      </c>
      <c r="C74">
        <v>949.47</v>
      </c>
      <c r="D74">
        <f t="shared" si="2"/>
        <v>949.47</v>
      </c>
      <c r="E74" s="36">
        <f t="shared" si="3"/>
        <v>949.47</v>
      </c>
    </row>
    <row r="75" spans="1:5">
      <c r="A75">
        <v>949.47</v>
      </c>
      <c r="B75">
        <v>3</v>
      </c>
      <c r="C75">
        <v>2848.41</v>
      </c>
      <c r="D75">
        <f t="shared" si="2"/>
        <v>2848.41</v>
      </c>
      <c r="E75" s="36">
        <f t="shared" si="3"/>
        <v>2848.4099999999976</v>
      </c>
    </row>
    <row r="76" spans="1:5">
      <c r="A76">
        <v>949.47</v>
      </c>
      <c r="B76">
        <v>4</v>
      </c>
      <c r="C76">
        <v>3797.88</v>
      </c>
      <c r="D76">
        <f t="shared" si="2"/>
        <v>3797.88</v>
      </c>
      <c r="E76" s="36">
        <f t="shared" si="3"/>
        <v>3797.8799999999965</v>
      </c>
    </row>
    <row r="77" spans="1:5">
      <c r="A77">
        <v>949.47</v>
      </c>
      <c r="B77">
        <v>3</v>
      </c>
      <c r="C77">
        <v>2848.41</v>
      </c>
      <c r="D77">
        <f t="shared" si="2"/>
        <v>2848.41</v>
      </c>
      <c r="E77" s="36">
        <f t="shared" si="3"/>
        <v>2848.4099999999976</v>
      </c>
    </row>
    <row r="78" spans="1:5">
      <c r="A78">
        <v>928.38</v>
      </c>
      <c r="B78">
        <v>3</v>
      </c>
      <c r="C78">
        <v>2785.14</v>
      </c>
      <c r="D78">
        <f t="shared" si="2"/>
        <v>2785.14</v>
      </c>
      <c r="E78" s="36">
        <f t="shared" si="3"/>
        <v>2785.1399999999976</v>
      </c>
    </row>
    <row r="79" spans="1:5">
      <c r="A79">
        <v>928.18</v>
      </c>
      <c r="B79">
        <v>5</v>
      </c>
      <c r="C79">
        <v>4640.8999999999996</v>
      </c>
      <c r="D79">
        <f t="shared" si="2"/>
        <v>4640.8999999999996</v>
      </c>
      <c r="E79" s="36">
        <f t="shared" si="3"/>
        <v>4640.8999999999942</v>
      </c>
    </row>
    <row r="80" spans="1:5">
      <c r="A80">
        <v>928.18</v>
      </c>
      <c r="B80">
        <v>3</v>
      </c>
      <c r="C80">
        <v>2784.54</v>
      </c>
      <c r="D80">
        <f t="shared" si="2"/>
        <v>2784.54</v>
      </c>
      <c r="E80" s="36">
        <f t="shared" si="3"/>
        <v>2784.5399999999977</v>
      </c>
    </row>
    <row r="81" spans="1:5">
      <c r="A81">
        <v>928.18</v>
      </c>
      <c r="B81">
        <v>5</v>
      </c>
      <c r="C81">
        <v>4640.8999999999996</v>
      </c>
      <c r="D81">
        <f t="shared" si="2"/>
        <v>4640.8999999999996</v>
      </c>
      <c r="E81" s="36">
        <f t="shared" si="3"/>
        <v>4640.8999999999942</v>
      </c>
    </row>
    <row r="82" spans="1:5">
      <c r="A82">
        <v>823.16</v>
      </c>
      <c r="B82">
        <v>5</v>
      </c>
      <c r="C82">
        <v>4115.8</v>
      </c>
      <c r="D82">
        <f t="shared" si="2"/>
        <v>4115.8</v>
      </c>
      <c r="E82" s="36">
        <f t="shared" si="3"/>
        <v>4115.7999999999956</v>
      </c>
    </row>
    <row r="83" spans="1:5">
      <c r="A83">
        <v>776.08</v>
      </c>
      <c r="B83">
        <v>3</v>
      </c>
      <c r="C83">
        <v>2328.2400000000002</v>
      </c>
      <c r="D83">
        <f t="shared" si="2"/>
        <v>2328.2400000000002</v>
      </c>
      <c r="E83" s="36">
        <f t="shared" si="3"/>
        <v>2328.2399999999984</v>
      </c>
    </row>
    <row r="84" spans="1:5">
      <c r="A84">
        <v>749.67</v>
      </c>
      <c r="B84">
        <v>4</v>
      </c>
      <c r="C84">
        <v>2998.68</v>
      </c>
      <c r="D84">
        <f t="shared" si="2"/>
        <v>2998.68</v>
      </c>
      <c r="E84" s="36">
        <f t="shared" si="3"/>
        <v>2998.6799999999971</v>
      </c>
    </row>
    <row r="85" spans="1:5">
      <c r="A85">
        <v>749.67</v>
      </c>
      <c r="B85">
        <v>3</v>
      </c>
      <c r="C85">
        <v>2249.0099999999998</v>
      </c>
      <c r="D85">
        <f t="shared" si="2"/>
        <v>2249.0099999999998</v>
      </c>
      <c r="E85" s="36">
        <f t="shared" si="3"/>
        <v>2249.0099999999979</v>
      </c>
    </row>
    <row r="86" spans="1:5">
      <c r="A86">
        <v>749.67</v>
      </c>
      <c r="B86">
        <v>2</v>
      </c>
      <c r="C86">
        <v>1499.34</v>
      </c>
      <c r="D86">
        <f t="shared" si="2"/>
        <v>1499.34</v>
      </c>
      <c r="E86" s="36">
        <f t="shared" si="3"/>
        <v>1499.3399999999992</v>
      </c>
    </row>
    <row r="87" spans="1:5">
      <c r="A87">
        <v>732.07</v>
      </c>
      <c r="B87">
        <v>5</v>
      </c>
      <c r="C87">
        <v>3660.3500000000004</v>
      </c>
      <c r="D87">
        <f t="shared" si="2"/>
        <v>3660.3500000000004</v>
      </c>
      <c r="E87" s="36">
        <f t="shared" si="3"/>
        <v>3660.3499999999967</v>
      </c>
    </row>
    <row r="88" spans="1:5">
      <c r="A88">
        <v>888.03</v>
      </c>
      <c r="B88">
        <v>3</v>
      </c>
      <c r="C88">
        <v>2664.09</v>
      </c>
      <c r="D88">
        <f t="shared" si="2"/>
        <v>2664.09</v>
      </c>
      <c r="E88" s="36">
        <f t="shared" si="3"/>
        <v>2664.0899999999979</v>
      </c>
    </row>
    <row r="89" spans="1:5">
      <c r="A89">
        <v>874.93</v>
      </c>
      <c r="B89">
        <v>5</v>
      </c>
      <c r="C89">
        <v>4374.6499999999996</v>
      </c>
      <c r="D89">
        <f t="shared" si="2"/>
        <v>4374.6499999999996</v>
      </c>
      <c r="E89" s="36">
        <f t="shared" si="3"/>
        <v>4374.6499999999951</v>
      </c>
    </row>
    <row r="90" spans="1:5">
      <c r="A90">
        <v>732.07</v>
      </c>
      <c r="B90">
        <v>3</v>
      </c>
      <c r="C90">
        <v>2196.21</v>
      </c>
      <c r="D90">
        <f t="shared" si="2"/>
        <v>2196.21</v>
      </c>
      <c r="E90" s="36">
        <f t="shared" si="3"/>
        <v>2196.2099999999987</v>
      </c>
    </row>
    <row r="91" spans="1:5">
      <c r="A91">
        <v>818.19</v>
      </c>
      <c r="B91">
        <v>4</v>
      </c>
      <c r="C91">
        <v>3272.76</v>
      </c>
      <c r="D91">
        <f t="shared" si="2"/>
        <v>3272.76</v>
      </c>
      <c r="E91" s="36">
        <f t="shared" si="3"/>
        <v>3272.759999999997</v>
      </c>
    </row>
    <row r="92" spans="1:5">
      <c r="A92">
        <v>732.07</v>
      </c>
      <c r="B92">
        <v>4</v>
      </c>
      <c r="C92">
        <v>2928.28</v>
      </c>
      <c r="D92">
        <f t="shared" si="2"/>
        <v>2928.28</v>
      </c>
      <c r="E92" s="36">
        <f t="shared" si="3"/>
        <v>2928.2799999999975</v>
      </c>
    </row>
    <row r="93" spans="1:5">
      <c r="A93">
        <v>772.19</v>
      </c>
      <c r="B93">
        <v>2</v>
      </c>
      <c r="C93">
        <v>1544.38</v>
      </c>
      <c r="D93">
        <f t="shared" si="2"/>
        <v>1544.38</v>
      </c>
      <c r="E93" s="36">
        <f t="shared" si="3"/>
        <v>1544.3799999999992</v>
      </c>
    </row>
    <row r="94" spans="1:5">
      <c r="A94">
        <v>771.96</v>
      </c>
      <c r="B94">
        <v>5</v>
      </c>
      <c r="C94">
        <v>3859.8</v>
      </c>
      <c r="D94">
        <f t="shared" si="2"/>
        <v>3859.8</v>
      </c>
      <c r="E94" s="36">
        <f t="shared" si="3"/>
        <v>3859.7999999999965</v>
      </c>
    </row>
    <row r="95" spans="1:5">
      <c r="A95">
        <v>732.07</v>
      </c>
      <c r="B95">
        <v>3</v>
      </c>
      <c r="C95">
        <v>2196.21</v>
      </c>
      <c r="D95">
        <f t="shared" si="2"/>
        <v>2196.21</v>
      </c>
      <c r="E95" s="36">
        <f t="shared" si="3"/>
        <v>2196.2099999999987</v>
      </c>
    </row>
    <row r="96" spans="1:5">
      <c r="A96">
        <v>757.7</v>
      </c>
      <c r="B96">
        <v>1</v>
      </c>
      <c r="C96">
        <v>757.7</v>
      </c>
      <c r="D96">
        <f t="shared" si="2"/>
        <v>757.7</v>
      </c>
      <c r="E96" s="36">
        <f t="shared" si="3"/>
        <v>757.70000000000027</v>
      </c>
    </row>
    <row r="97" spans="1:5">
      <c r="A97">
        <v>751.27</v>
      </c>
      <c r="B97">
        <v>2</v>
      </c>
      <c r="C97">
        <v>1502.54</v>
      </c>
      <c r="D97">
        <f t="shared" si="2"/>
        <v>1502.54</v>
      </c>
      <c r="E97" s="36">
        <f t="shared" si="3"/>
        <v>1502.5399999999991</v>
      </c>
    </row>
    <row r="98" spans="1:5">
      <c r="A98">
        <v>751.27</v>
      </c>
      <c r="B98">
        <v>2</v>
      </c>
      <c r="C98">
        <v>1502.54</v>
      </c>
      <c r="D98">
        <f t="shared" si="2"/>
        <v>1502.54</v>
      </c>
      <c r="E98" s="36">
        <f t="shared" si="3"/>
        <v>1502.5399999999991</v>
      </c>
    </row>
    <row r="99" spans="1:5">
      <c r="A99">
        <v>722.4</v>
      </c>
      <c r="B99">
        <v>3</v>
      </c>
      <c r="C99">
        <v>2167.1999999999998</v>
      </c>
      <c r="D99">
        <f t="shared" si="2"/>
        <v>2167.1999999999998</v>
      </c>
      <c r="E99" s="36">
        <f t="shared" si="3"/>
        <v>2167.1999999999985</v>
      </c>
    </row>
    <row r="100" spans="1:5">
      <c r="A100">
        <v>722.4</v>
      </c>
      <c r="B100">
        <v>2</v>
      </c>
      <c r="C100">
        <v>1444.8</v>
      </c>
      <c r="D100">
        <f t="shared" si="2"/>
        <v>1444.8</v>
      </c>
      <c r="E100" s="36">
        <f t="shared" si="3"/>
        <v>1444.7999999999993</v>
      </c>
    </row>
    <row r="101" spans="1:5">
      <c r="A101">
        <v>722.4</v>
      </c>
      <c r="B101">
        <v>4</v>
      </c>
      <c r="C101">
        <v>2889.6</v>
      </c>
      <c r="D101">
        <f t="shared" si="2"/>
        <v>2889.6</v>
      </c>
      <c r="E101" s="36">
        <f t="shared" si="3"/>
        <v>2889.5999999999976</v>
      </c>
    </row>
    <row r="102" spans="1:5">
      <c r="A102">
        <v>722.4</v>
      </c>
      <c r="B102">
        <v>2</v>
      </c>
      <c r="C102">
        <v>1444.8</v>
      </c>
      <c r="D102">
        <f t="shared" si="2"/>
        <v>1444.8</v>
      </c>
      <c r="E102" s="36">
        <f t="shared" si="3"/>
        <v>1444.7999999999993</v>
      </c>
    </row>
    <row r="103" spans="1:5">
      <c r="A103">
        <v>722.4</v>
      </c>
      <c r="B103">
        <v>3</v>
      </c>
      <c r="C103">
        <v>2167.1999999999998</v>
      </c>
      <c r="D103">
        <f t="shared" si="2"/>
        <v>2167.1999999999998</v>
      </c>
      <c r="E103" s="36">
        <f t="shared" si="3"/>
        <v>2167.1999999999985</v>
      </c>
    </row>
    <row r="104" spans="1:5">
      <c r="A104">
        <v>722.4</v>
      </c>
      <c r="B104">
        <v>4</v>
      </c>
      <c r="C104">
        <v>2889.6</v>
      </c>
      <c r="D104">
        <f t="shared" si="2"/>
        <v>2889.6</v>
      </c>
      <c r="E104" s="36">
        <f t="shared" si="3"/>
        <v>2889.5999999999976</v>
      </c>
    </row>
    <row r="105" spans="1:5">
      <c r="A105">
        <v>722.4</v>
      </c>
      <c r="B105">
        <v>5</v>
      </c>
      <c r="C105">
        <v>3612</v>
      </c>
      <c r="D105">
        <f t="shared" si="2"/>
        <v>3612</v>
      </c>
      <c r="E105" s="36">
        <f t="shared" si="3"/>
        <v>3611.9999999999964</v>
      </c>
    </row>
    <row r="106" spans="1:5">
      <c r="A106">
        <v>722.4</v>
      </c>
      <c r="B106">
        <v>1</v>
      </c>
      <c r="C106">
        <v>722.4</v>
      </c>
      <c r="D106">
        <f t="shared" si="2"/>
        <v>722.4</v>
      </c>
      <c r="E106" s="36">
        <f t="shared" si="3"/>
        <v>722.40000000000032</v>
      </c>
    </row>
    <row r="107" spans="1:5">
      <c r="A107">
        <v>722.4</v>
      </c>
      <c r="B107">
        <v>4</v>
      </c>
      <c r="C107">
        <v>2889.6</v>
      </c>
      <c r="D107">
        <f t="shared" si="2"/>
        <v>2889.6</v>
      </c>
      <c r="E107" s="36">
        <f t="shared" si="3"/>
        <v>2889.5999999999976</v>
      </c>
    </row>
    <row r="108" spans="1:5">
      <c r="A108">
        <v>722.4</v>
      </c>
      <c r="B108">
        <v>3</v>
      </c>
      <c r="C108">
        <v>2167.1999999999998</v>
      </c>
      <c r="D108">
        <f t="shared" si="2"/>
        <v>2167.1999999999998</v>
      </c>
      <c r="E108" s="36">
        <f t="shared" si="3"/>
        <v>2167.1999999999985</v>
      </c>
    </row>
    <row r="109" spans="1:5">
      <c r="A109">
        <v>722.4</v>
      </c>
      <c r="B109">
        <v>5</v>
      </c>
      <c r="C109">
        <v>3612</v>
      </c>
      <c r="D109">
        <f t="shared" si="2"/>
        <v>3612</v>
      </c>
      <c r="E109" s="36">
        <f t="shared" si="3"/>
        <v>3611.9999999999964</v>
      </c>
    </row>
    <row r="110" spans="1:5">
      <c r="A110">
        <v>722.4</v>
      </c>
      <c r="B110">
        <v>1</v>
      </c>
      <c r="C110">
        <v>722.4</v>
      </c>
      <c r="D110">
        <f t="shared" si="2"/>
        <v>722.4</v>
      </c>
      <c r="E110" s="36">
        <f t="shared" si="3"/>
        <v>722.40000000000032</v>
      </c>
    </row>
    <row r="111" spans="1:5">
      <c r="A111">
        <v>722.4</v>
      </c>
      <c r="B111">
        <v>2</v>
      </c>
      <c r="C111">
        <v>1444.8</v>
      </c>
      <c r="D111">
        <f t="shared" si="2"/>
        <v>1444.8</v>
      </c>
      <c r="E111" s="36">
        <f t="shared" si="3"/>
        <v>1444.7999999999993</v>
      </c>
    </row>
    <row r="112" spans="1:5">
      <c r="A112">
        <v>722.4</v>
      </c>
      <c r="B112">
        <v>1</v>
      </c>
      <c r="C112">
        <v>722.4</v>
      </c>
      <c r="D112">
        <f t="shared" si="2"/>
        <v>722.4</v>
      </c>
      <c r="E112" s="36">
        <f t="shared" si="3"/>
        <v>722.40000000000032</v>
      </c>
    </row>
    <row r="113" spans="1:5">
      <c r="A113">
        <v>722.4</v>
      </c>
      <c r="B113">
        <v>4</v>
      </c>
      <c r="C113">
        <v>2889.6</v>
      </c>
      <c r="D113">
        <f t="shared" si="2"/>
        <v>2889.6</v>
      </c>
      <c r="E113" s="36">
        <f t="shared" si="3"/>
        <v>2889.5999999999976</v>
      </c>
    </row>
    <row r="114" spans="1:5">
      <c r="A114">
        <v>722.4</v>
      </c>
      <c r="B114">
        <v>4</v>
      </c>
      <c r="C114">
        <v>2889.6</v>
      </c>
      <c r="D114">
        <f t="shared" si="2"/>
        <v>2889.6</v>
      </c>
      <c r="E114" s="36">
        <f t="shared" si="3"/>
        <v>2889.5999999999976</v>
      </c>
    </row>
    <row r="115" spans="1:5">
      <c r="A115">
        <v>722.4</v>
      </c>
      <c r="B115">
        <v>1</v>
      </c>
      <c r="C115">
        <v>722.4</v>
      </c>
      <c r="D115">
        <f t="shared" si="2"/>
        <v>722.4</v>
      </c>
      <c r="E115" s="36">
        <f t="shared" si="3"/>
        <v>722.40000000000032</v>
      </c>
    </row>
    <row r="116" spans="1:5">
      <c r="A116">
        <v>722.4</v>
      </c>
      <c r="B116">
        <v>5</v>
      </c>
      <c r="C116">
        <v>3612</v>
      </c>
      <c r="D116">
        <f t="shared" si="2"/>
        <v>3612</v>
      </c>
      <c r="E116" s="36">
        <f t="shared" si="3"/>
        <v>3611.9999999999964</v>
      </c>
    </row>
    <row r="117" spans="1:5">
      <c r="A117">
        <v>591.25</v>
      </c>
      <c r="B117">
        <v>2</v>
      </c>
      <c r="C117">
        <v>1182.5</v>
      </c>
      <c r="D117">
        <f t="shared" si="2"/>
        <v>1182.5</v>
      </c>
      <c r="E117" s="36">
        <f t="shared" si="3"/>
        <v>1182.4999999999995</v>
      </c>
    </row>
    <row r="118" spans="1:5">
      <c r="A118">
        <v>591.25</v>
      </c>
      <c r="B118">
        <v>4</v>
      </c>
      <c r="C118">
        <v>2365</v>
      </c>
      <c r="D118">
        <f t="shared" si="2"/>
        <v>2365</v>
      </c>
      <c r="E118" s="36">
        <f t="shared" si="3"/>
        <v>2364.9999999999982</v>
      </c>
    </row>
    <row r="119" spans="1:5">
      <c r="A119">
        <v>577.89</v>
      </c>
      <c r="B119">
        <v>5</v>
      </c>
      <c r="C119">
        <v>2889.45</v>
      </c>
      <c r="D119">
        <f t="shared" si="2"/>
        <v>2889.45</v>
      </c>
      <c r="E119" s="36">
        <f t="shared" si="3"/>
        <v>2889.4499999999975</v>
      </c>
    </row>
    <row r="120" spans="1:5">
      <c r="A120">
        <v>577.89</v>
      </c>
      <c r="B120">
        <v>1</v>
      </c>
      <c r="C120">
        <v>577.89</v>
      </c>
      <c r="D120">
        <f t="shared" si="2"/>
        <v>577.89</v>
      </c>
      <c r="E120" s="36">
        <f t="shared" si="3"/>
        <v>577.89000000000044</v>
      </c>
    </row>
    <row r="121" spans="1:5">
      <c r="A121">
        <v>577.89</v>
      </c>
      <c r="B121">
        <v>5</v>
      </c>
      <c r="C121">
        <v>2889.45</v>
      </c>
      <c r="D121">
        <f t="shared" si="2"/>
        <v>2889.45</v>
      </c>
      <c r="E121" s="36">
        <f t="shared" si="3"/>
        <v>2889.4499999999975</v>
      </c>
    </row>
    <row r="122" spans="1:5">
      <c r="A122">
        <v>577.89</v>
      </c>
      <c r="B122">
        <v>1</v>
      </c>
      <c r="C122">
        <v>577.89</v>
      </c>
      <c r="D122">
        <f t="shared" si="2"/>
        <v>577.89</v>
      </c>
      <c r="E122" s="36">
        <f t="shared" si="3"/>
        <v>577.89000000000044</v>
      </c>
    </row>
    <row r="123" spans="1:5">
      <c r="A123">
        <v>577.89</v>
      </c>
      <c r="B123">
        <v>2</v>
      </c>
      <c r="C123">
        <v>1155.78</v>
      </c>
      <c r="D123">
        <f t="shared" si="2"/>
        <v>1155.78</v>
      </c>
      <c r="E123" s="36">
        <f t="shared" si="3"/>
        <v>1155.7799999999997</v>
      </c>
    </row>
    <row r="124" spans="1:5">
      <c r="A124">
        <v>577.89</v>
      </c>
      <c r="B124">
        <v>4</v>
      </c>
      <c r="C124">
        <v>2311.56</v>
      </c>
      <c r="D124">
        <f t="shared" si="2"/>
        <v>2311.56</v>
      </c>
      <c r="E124" s="36">
        <f t="shared" si="3"/>
        <v>2311.5599999999981</v>
      </c>
    </row>
    <row r="125" spans="1:5">
      <c r="A125">
        <v>566.04</v>
      </c>
      <c r="B125">
        <v>1</v>
      </c>
      <c r="C125">
        <v>566.04</v>
      </c>
      <c r="D125">
        <f t="shared" si="2"/>
        <v>566.04</v>
      </c>
      <c r="E125" s="36">
        <f t="shared" si="3"/>
        <v>566.04000000000042</v>
      </c>
    </row>
    <row r="126" spans="1:5">
      <c r="A126">
        <v>532.57000000000005</v>
      </c>
      <c r="B126">
        <v>5</v>
      </c>
      <c r="C126">
        <v>2662.8500000000004</v>
      </c>
      <c r="D126">
        <f t="shared" si="2"/>
        <v>2662.8500000000004</v>
      </c>
      <c r="E126" s="36">
        <f t="shared" si="3"/>
        <v>2662.8499999999981</v>
      </c>
    </row>
    <row r="127" spans="1:5">
      <c r="A127">
        <v>709.93</v>
      </c>
      <c r="B127">
        <v>4</v>
      </c>
      <c r="C127">
        <v>2839.72</v>
      </c>
      <c r="D127">
        <f t="shared" si="2"/>
        <v>2839.72</v>
      </c>
      <c r="E127" s="36">
        <f t="shared" si="3"/>
        <v>2839.7199999999975</v>
      </c>
    </row>
    <row r="128" spans="1:5">
      <c r="A128">
        <v>709.93</v>
      </c>
      <c r="B128">
        <v>2</v>
      </c>
      <c r="C128">
        <v>1419.86</v>
      </c>
      <c r="D128">
        <f t="shared" si="2"/>
        <v>1419.86</v>
      </c>
      <c r="E128" s="36">
        <f t="shared" si="3"/>
        <v>1419.8599999999992</v>
      </c>
    </row>
    <row r="129" spans="1:5">
      <c r="A129">
        <v>709.67</v>
      </c>
      <c r="B129">
        <v>5</v>
      </c>
      <c r="C129">
        <v>3548.35</v>
      </c>
      <c r="D129">
        <f t="shared" si="2"/>
        <v>3548.35</v>
      </c>
      <c r="E129" s="36">
        <f t="shared" si="3"/>
        <v>3548.3499999999967</v>
      </c>
    </row>
    <row r="130" spans="1:5">
      <c r="A130">
        <v>682.09</v>
      </c>
      <c r="B130">
        <v>5</v>
      </c>
      <c r="C130">
        <v>3410.4500000000003</v>
      </c>
      <c r="D130">
        <f t="shared" si="2"/>
        <v>3410.4500000000003</v>
      </c>
      <c r="E130" s="36">
        <f t="shared" si="3"/>
        <v>3410.4499999999971</v>
      </c>
    </row>
    <row r="131" spans="1:5">
      <c r="A131">
        <v>532.57000000000005</v>
      </c>
      <c r="B131">
        <v>3</v>
      </c>
      <c r="C131">
        <v>1597.71</v>
      </c>
      <c r="D131">
        <f t="shared" ref="D131:D194" si="4">A131*B131</f>
        <v>1597.71</v>
      </c>
      <c r="E131" s="36">
        <f t="shared" ref="E131:E194" si="5">$G$7 * D131 + $H$7</f>
        <v>1597.7099999999991</v>
      </c>
    </row>
    <row r="132" spans="1:5">
      <c r="A132">
        <v>642.23</v>
      </c>
      <c r="B132">
        <v>1</v>
      </c>
      <c r="C132">
        <v>642.23</v>
      </c>
      <c r="D132">
        <f t="shared" si="4"/>
        <v>642.23</v>
      </c>
      <c r="E132" s="36">
        <f t="shared" si="5"/>
        <v>642.23000000000036</v>
      </c>
    </row>
    <row r="133" spans="1:5">
      <c r="A133">
        <v>531.26</v>
      </c>
      <c r="B133">
        <v>5</v>
      </c>
      <c r="C133">
        <v>2656.3</v>
      </c>
      <c r="D133">
        <f t="shared" si="4"/>
        <v>2656.3</v>
      </c>
      <c r="E133" s="36">
        <f t="shared" si="5"/>
        <v>2656.2999999999979</v>
      </c>
    </row>
    <row r="134" spans="1:5">
      <c r="A134">
        <v>531.26</v>
      </c>
      <c r="B134">
        <v>3</v>
      </c>
      <c r="C134">
        <v>1593.78</v>
      </c>
      <c r="D134">
        <f t="shared" si="4"/>
        <v>1593.78</v>
      </c>
      <c r="E134" s="36">
        <f t="shared" si="5"/>
        <v>1593.7799999999993</v>
      </c>
    </row>
    <row r="135" spans="1:5">
      <c r="A135">
        <v>531.26</v>
      </c>
      <c r="B135">
        <v>3</v>
      </c>
      <c r="C135">
        <v>1593.78</v>
      </c>
      <c r="D135">
        <f t="shared" si="4"/>
        <v>1593.78</v>
      </c>
      <c r="E135" s="36">
        <f t="shared" si="5"/>
        <v>1593.7799999999993</v>
      </c>
    </row>
    <row r="136" spans="1:5">
      <c r="A136">
        <v>531.26</v>
      </c>
      <c r="B136">
        <v>4</v>
      </c>
      <c r="C136">
        <v>2125.04</v>
      </c>
      <c r="D136">
        <f t="shared" si="4"/>
        <v>2125.04</v>
      </c>
      <c r="E136" s="36">
        <f t="shared" si="5"/>
        <v>2125.0399999999986</v>
      </c>
    </row>
    <row r="137" spans="1:5">
      <c r="A137">
        <v>465.91</v>
      </c>
      <c r="B137">
        <v>4</v>
      </c>
      <c r="C137">
        <v>1863.64</v>
      </c>
      <c r="D137">
        <f t="shared" si="4"/>
        <v>1863.64</v>
      </c>
      <c r="E137" s="36">
        <f t="shared" si="5"/>
        <v>1863.639999999999</v>
      </c>
    </row>
    <row r="138" spans="1:5">
      <c r="A138">
        <v>465.91</v>
      </c>
      <c r="B138">
        <v>4</v>
      </c>
      <c r="C138">
        <v>1863.64</v>
      </c>
      <c r="D138">
        <f t="shared" si="4"/>
        <v>1863.64</v>
      </c>
      <c r="E138" s="36">
        <f t="shared" si="5"/>
        <v>1863.639999999999</v>
      </c>
    </row>
    <row r="139" spans="1:5">
      <c r="A139">
        <v>458.28</v>
      </c>
      <c r="B139">
        <v>1</v>
      </c>
      <c r="C139">
        <v>458.28</v>
      </c>
      <c r="D139">
        <f t="shared" si="4"/>
        <v>458.28</v>
      </c>
      <c r="E139" s="36">
        <f t="shared" si="5"/>
        <v>458.2800000000006</v>
      </c>
    </row>
    <row r="140" spans="1:5">
      <c r="A140">
        <v>458.28</v>
      </c>
      <c r="B140">
        <v>3</v>
      </c>
      <c r="C140">
        <v>1374.84</v>
      </c>
      <c r="D140">
        <f t="shared" si="4"/>
        <v>1374.84</v>
      </c>
      <c r="E140" s="36">
        <f t="shared" si="5"/>
        <v>1374.8399999999992</v>
      </c>
    </row>
    <row r="141" spans="1:5">
      <c r="A141">
        <v>458.28</v>
      </c>
      <c r="B141">
        <v>4</v>
      </c>
      <c r="C141">
        <v>1833.12</v>
      </c>
      <c r="D141">
        <f t="shared" si="4"/>
        <v>1833.12</v>
      </c>
      <c r="E141" s="36">
        <f t="shared" si="5"/>
        <v>1833.1199999999985</v>
      </c>
    </row>
    <row r="142" spans="1:5">
      <c r="A142">
        <v>458.28</v>
      </c>
      <c r="B142">
        <v>4</v>
      </c>
      <c r="C142">
        <v>1833.12</v>
      </c>
      <c r="D142">
        <f t="shared" si="4"/>
        <v>1833.12</v>
      </c>
      <c r="E142" s="36">
        <f t="shared" si="5"/>
        <v>1833.1199999999985</v>
      </c>
    </row>
    <row r="143" spans="1:5">
      <c r="A143">
        <v>576.08000000000004</v>
      </c>
      <c r="B143">
        <v>2</v>
      </c>
      <c r="C143">
        <v>1152.1600000000001</v>
      </c>
      <c r="D143">
        <f t="shared" si="4"/>
        <v>1152.1600000000001</v>
      </c>
      <c r="E143" s="36">
        <f t="shared" si="5"/>
        <v>1152.1599999999999</v>
      </c>
    </row>
    <row r="144" spans="1:5">
      <c r="A144">
        <v>566.29999999999995</v>
      </c>
      <c r="B144">
        <v>3</v>
      </c>
      <c r="C144">
        <v>1698.8999999999999</v>
      </c>
      <c r="D144">
        <f t="shared" si="4"/>
        <v>1698.8999999999999</v>
      </c>
      <c r="E144" s="36">
        <f t="shared" si="5"/>
        <v>1698.8999999999987</v>
      </c>
    </row>
    <row r="145" spans="1:5">
      <c r="A145">
        <v>458.28</v>
      </c>
      <c r="B145">
        <v>4</v>
      </c>
      <c r="C145">
        <v>1833.12</v>
      </c>
      <c r="D145">
        <f t="shared" si="4"/>
        <v>1833.12</v>
      </c>
      <c r="E145" s="36">
        <f t="shared" si="5"/>
        <v>1833.1199999999985</v>
      </c>
    </row>
    <row r="146" spans="1:5">
      <c r="A146">
        <v>540.51</v>
      </c>
      <c r="B146">
        <v>5</v>
      </c>
      <c r="C146">
        <v>2702.55</v>
      </c>
      <c r="D146">
        <f t="shared" si="4"/>
        <v>2702.55</v>
      </c>
      <c r="E146" s="36">
        <f t="shared" si="5"/>
        <v>2702.5499999999979</v>
      </c>
    </row>
    <row r="147" spans="1:5">
      <c r="A147">
        <v>458.28</v>
      </c>
      <c r="B147">
        <v>2</v>
      </c>
      <c r="C147">
        <v>916.56</v>
      </c>
      <c r="D147">
        <f t="shared" si="4"/>
        <v>916.56</v>
      </c>
      <c r="E147" s="36">
        <f t="shared" si="5"/>
        <v>916.56</v>
      </c>
    </row>
    <row r="148" spans="1:5">
      <c r="A148">
        <v>458.28</v>
      </c>
      <c r="B148">
        <v>2</v>
      </c>
      <c r="C148">
        <v>916.56</v>
      </c>
      <c r="D148">
        <f t="shared" si="4"/>
        <v>916.56</v>
      </c>
      <c r="E148" s="36">
        <f t="shared" si="5"/>
        <v>916.56</v>
      </c>
    </row>
    <row r="149" spans="1:5">
      <c r="A149">
        <v>458.28</v>
      </c>
      <c r="B149">
        <v>4</v>
      </c>
      <c r="C149">
        <v>1833.12</v>
      </c>
      <c r="D149">
        <f t="shared" si="4"/>
        <v>1833.12</v>
      </c>
      <c r="E149" s="36">
        <f t="shared" si="5"/>
        <v>1833.1199999999985</v>
      </c>
    </row>
    <row r="150" spans="1:5">
      <c r="A150">
        <v>458.28</v>
      </c>
      <c r="B150">
        <v>4</v>
      </c>
      <c r="C150">
        <v>1833.12</v>
      </c>
      <c r="D150">
        <f t="shared" si="4"/>
        <v>1833.12</v>
      </c>
      <c r="E150" s="36">
        <f t="shared" si="5"/>
        <v>1833.1199999999985</v>
      </c>
    </row>
    <row r="151" spans="1:5">
      <c r="A151">
        <v>458.28</v>
      </c>
      <c r="B151">
        <v>1</v>
      </c>
      <c r="C151">
        <v>458.28</v>
      </c>
      <c r="D151">
        <f t="shared" si="4"/>
        <v>458.28</v>
      </c>
      <c r="E151" s="36">
        <f t="shared" si="5"/>
        <v>458.2800000000006</v>
      </c>
    </row>
    <row r="152" spans="1:5">
      <c r="A152">
        <v>458.28</v>
      </c>
      <c r="B152">
        <v>4</v>
      </c>
      <c r="C152">
        <v>1833.12</v>
      </c>
      <c r="D152">
        <f t="shared" si="4"/>
        <v>1833.12</v>
      </c>
      <c r="E152" s="36">
        <f t="shared" si="5"/>
        <v>1833.1199999999985</v>
      </c>
    </row>
    <row r="153" spans="1:5">
      <c r="A153">
        <v>525.08000000000004</v>
      </c>
      <c r="B153">
        <v>4</v>
      </c>
      <c r="C153">
        <v>2100.3200000000002</v>
      </c>
      <c r="D153">
        <f t="shared" si="4"/>
        <v>2100.3200000000002</v>
      </c>
      <c r="E153" s="36">
        <f t="shared" si="5"/>
        <v>2100.3199999999988</v>
      </c>
    </row>
    <row r="154" spans="1:5">
      <c r="A154">
        <v>520.57000000000005</v>
      </c>
      <c r="B154">
        <v>2</v>
      </c>
      <c r="C154">
        <v>1041.1400000000001</v>
      </c>
      <c r="D154">
        <f t="shared" si="4"/>
        <v>1041.1400000000001</v>
      </c>
      <c r="E154" s="36">
        <f t="shared" si="5"/>
        <v>1041.1399999999999</v>
      </c>
    </row>
    <row r="155" spans="1:5">
      <c r="A155">
        <v>514.79</v>
      </c>
      <c r="B155">
        <v>5</v>
      </c>
      <c r="C155">
        <v>2573.9499999999998</v>
      </c>
      <c r="D155">
        <f t="shared" si="4"/>
        <v>2573.9499999999998</v>
      </c>
      <c r="E155" s="36">
        <f t="shared" si="5"/>
        <v>2573.9499999999975</v>
      </c>
    </row>
    <row r="156" spans="1:5">
      <c r="A156">
        <v>514.79</v>
      </c>
      <c r="B156">
        <v>2</v>
      </c>
      <c r="C156">
        <v>1029.58</v>
      </c>
      <c r="D156">
        <f t="shared" si="4"/>
        <v>1029.58</v>
      </c>
      <c r="E156" s="36">
        <f t="shared" si="5"/>
        <v>1029.58</v>
      </c>
    </row>
    <row r="157" spans="1:5">
      <c r="A157">
        <v>511.96</v>
      </c>
      <c r="B157">
        <v>5</v>
      </c>
      <c r="C157">
        <v>2559.7999999999997</v>
      </c>
      <c r="D157">
        <f t="shared" si="4"/>
        <v>2559.7999999999997</v>
      </c>
      <c r="E157" s="36">
        <f t="shared" si="5"/>
        <v>2559.7999999999979</v>
      </c>
    </row>
    <row r="158" spans="1:5">
      <c r="A158">
        <v>510.18</v>
      </c>
      <c r="B158">
        <v>3</v>
      </c>
      <c r="C158">
        <v>1530.54</v>
      </c>
      <c r="D158">
        <f t="shared" si="4"/>
        <v>1530.54</v>
      </c>
      <c r="E158" s="36">
        <f t="shared" si="5"/>
        <v>1530.5399999999991</v>
      </c>
    </row>
    <row r="159" spans="1:5">
      <c r="A159">
        <v>458.28</v>
      </c>
      <c r="B159">
        <v>5</v>
      </c>
      <c r="C159">
        <v>2291.3999999999996</v>
      </c>
      <c r="D159">
        <f t="shared" si="4"/>
        <v>2291.3999999999996</v>
      </c>
      <c r="E159" s="36">
        <f t="shared" si="5"/>
        <v>2291.3999999999978</v>
      </c>
    </row>
    <row r="160" spans="1:5">
      <c r="A160">
        <v>458.28</v>
      </c>
      <c r="B160">
        <v>3</v>
      </c>
      <c r="C160">
        <v>1374.84</v>
      </c>
      <c r="D160">
        <f t="shared" si="4"/>
        <v>1374.84</v>
      </c>
      <c r="E160" s="36">
        <f t="shared" si="5"/>
        <v>1374.8399999999992</v>
      </c>
    </row>
    <row r="161" spans="1:5">
      <c r="A161">
        <v>458.28</v>
      </c>
      <c r="B161">
        <v>4</v>
      </c>
      <c r="C161">
        <v>1833.12</v>
      </c>
      <c r="D161">
        <f t="shared" si="4"/>
        <v>1833.12</v>
      </c>
      <c r="E161" s="36">
        <f t="shared" si="5"/>
        <v>1833.1199999999985</v>
      </c>
    </row>
    <row r="162" spans="1:5">
      <c r="A162">
        <v>458.28</v>
      </c>
      <c r="B162">
        <v>1</v>
      </c>
      <c r="C162">
        <v>458.28</v>
      </c>
      <c r="D162">
        <f t="shared" si="4"/>
        <v>458.28</v>
      </c>
      <c r="E162" s="36">
        <f t="shared" si="5"/>
        <v>458.2800000000006</v>
      </c>
    </row>
    <row r="163" spans="1:5">
      <c r="A163">
        <v>458.28</v>
      </c>
      <c r="B163">
        <v>1</v>
      </c>
      <c r="C163">
        <v>458.28</v>
      </c>
      <c r="D163">
        <f t="shared" si="4"/>
        <v>458.28</v>
      </c>
      <c r="E163" s="36">
        <f t="shared" si="5"/>
        <v>458.2800000000006</v>
      </c>
    </row>
    <row r="164" spans="1:5">
      <c r="A164">
        <v>458.28</v>
      </c>
      <c r="B164">
        <v>5</v>
      </c>
      <c r="C164">
        <v>2291.3999999999996</v>
      </c>
      <c r="D164">
        <f t="shared" si="4"/>
        <v>2291.3999999999996</v>
      </c>
      <c r="E164" s="36">
        <f t="shared" si="5"/>
        <v>2291.3999999999978</v>
      </c>
    </row>
    <row r="165" spans="1:5">
      <c r="A165">
        <v>458.28</v>
      </c>
      <c r="B165">
        <v>2</v>
      </c>
      <c r="C165">
        <v>916.56</v>
      </c>
      <c r="D165">
        <f t="shared" si="4"/>
        <v>916.56</v>
      </c>
      <c r="E165" s="36">
        <f t="shared" si="5"/>
        <v>916.56</v>
      </c>
    </row>
    <row r="166" spans="1:5">
      <c r="A166">
        <v>457.13</v>
      </c>
      <c r="B166">
        <v>5</v>
      </c>
      <c r="C166">
        <v>2285.65</v>
      </c>
      <c r="D166">
        <f t="shared" si="4"/>
        <v>2285.65</v>
      </c>
      <c r="E166" s="36">
        <f t="shared" si="5"/>
        <v>2285.6499999999983</v>
      </c>
    </row>
    <row r="167" spans="1:5">
      <c r="A167">
        <v>453.16</v>
      </c>
      <c r="B167">
        <v>3</v>
      </c>
      <c r="C167">
        <v>1359.48</v>
      </c>
      <c r="D167">
        <f t="shared" si="4"/>
        <v>1359.48</v>
      </c>
      <c r="E167" s="36">
        <f t="shared" si="5"/>
        <v>1359.4799999999996</v>
      </c>
    </row>
    <row r="168" spans="1:5">
      <c r="A168">
        <v>447.6</v>
      </c>
      <c r="B168">
        <v>1</v>
      </c>
      <c r="C168">
        <v>447.6</v>
      </c>
      <c r="D168">
        <f t="shared" si="4"/>
        <v>447.6</v>
      </c>
      <c r="E168" s="36">
        <f t="shared" si="5"/>
        <v>447.6000000000007</v>
      </c>
    </row>
    <row r="169" spans="1:5">
      <c r="A169">
        <v>437.31</v>
      </c>
      <c r="B169">
        <v>1</v>
      </c>
      <c r="C169">
        <v>437.31</v>
      </c>
      <c r="D169">
        <f t="shared" si="4"/>
        <v>437.31</v>
      </c>
      <c r="E169" s="36">
        <f t="shared" si="5"/>
        <v>437.31000000000068</v>
      </c>
    </row>
    <row r="170" spans="1:5">
      <c r="A170">
        <v>411.54</v>
      </c>
      <c r="B170">
        <v>5</v>
      </c>
      <c r="C170">
        <v>2057.7000000000003</v>
      </c>
      <c r="D170">
        <f t="shared" si="4"/>
        <v>2057.7000000000003</v>
      </c>
      <c r="E170" s="36">
        <f t="shared" si="5"/>
        <v>2057.6999999999989</v>
      </c>
    </row>
    <row r="171" spans="1:5">
      <c r="A171">
        <v>358.31</v>
      </c>
      <c r="B171">
        <v>2</v>
      </c>
      <c r="C171">
        <v>716.62</v>
      </c>
      <c r="D171">
        <f t="shared" si="4"/>
        <v>716.62</v>
      </c>
      <c r="E171" s="36">
        <f t="shared" si="5"/>
        <v>716.62000000000035</v>
      </c>
    </row>
    <row r="172" spans="1:5">
      <c r="A172">
        <v>358.31</v>
      </c>
      <c r="B172">
        <v>4</v>
      </c>
      <c r="C172">
        <v>1433.24</v>
      </c>
      <c r="D172">
        <f t="shared" si="4"/>
        <v>1433.24</v>
      </c>
      <c r="E172" s="36">
        <f t="shared" si="5"/>
        <v>1433.2399999999993</v>
      </c>
    </row>
    <row r="173" spans="1:5">
      <c r="A173">
        <v>463.31</v>
      </c>
      <c r="B173">
        <v>5</v>
      </c>
      <c r="C173">
        <v>2316.5500000000002</v>
      </c>
      <c r="D173">
        <f t="shared" si="4"/>
        <v>2316.5500000000002</v>
      </c>
      <c r="E173" s="36">
        <f t="shared" si="5"/>
        <v>2316.5499999999984</v>
      </c>
    </row>
    <row r="174" spans="1:5">
      <c r="A174">
        <v>463.31</v>
      </c>
      <c r="B174">
        <v>5</v>
      </c>
      <c r="C174">
        <v>2316.5500000000002</v>
      </c>
      <c r="D174">
        <f t="shared" si="4"/>
        <v>2316.5500000000002</v>
      </c>
      <c r="E174" s="36">
        <f t="shared" si="5"/>
        <v>2316.5499999999984</v>
      </c>
    </row>
    <row r="175" spans="1:5">
      <c r="A175">
        <v>463.28</v>
      </c>
      <c r="B175">
        <v>1</v>
      </c>
      <c r="C175">
        <v>463.28</v>
      </c>
      <c r="D175">
        <f t="shared" si="4"/>
        <v>463.28</v>
      </c>
      <c r="E175" s="36">
        <f t="shared" si="5"/>
        <v>463.2800000000006</v>
      </c>
    </row>
    <row r="176" spans="1:5">
      <c r="A176">
        <v>463.28</v>
      </c>
      <c r="B176">
        <v>4</v>
      </c>
      <c r="C176">
        <v>1853.12</v>
      </c>
      <c r="D176">
        <f t="shared" si="4"/>
        <v>1853.12</v>
      </c>
      <c r="E176" s="36">
        <f t="shared" si="5"/>
        <v>1853.1199999999985</v>
      </c>
    </row>
    <row r="177" spans="1:5">
      <c r="A177">
        <v>463.28</v>
      </c>
      <c r="B177">
        <v>1</v>
      </c>
      <c r="C177">
        <v>463.28</v>
      </c>
      <c r="D177">
        <f t="shared" si="4"/>
        <v>463.28</v>
      </c>
      <c r="E177" s="36">
        <f t="shared" si="5"/>
        <v>463.2800000000006</v>
      </c>
    </row>
    <row r="178" spans="1:5">
      <c r="A178">
        <v>463.07</v>
      </c>
      <c r="B178">
        <v>3</v>
      </c>
      <c r="C178">
        <v>1389.21</v>
      </c>
      <c r="D178">
        <f t="shared" si="4"/>
        <v>1389.21</v>
      </c>
      <c r="E178" s="36">
        <f t="shared" si="5"/>
        <v>1389.2099999999996</v>
      </c>
    </row>
    <row r="179" spans="1:5">
      <c r="A179">
        <v>462.79</v>
      </c>
      <c r="B179">
        <v>1</v>
      </c>
      <c r="C179">
        <v>462.79</v>
      </c>
      <c r="D179">
        <f t="shared" si="4"/>
        <v>462.79</v>
      </c>
      <c r="E179" s="36">
        <f t="shared" si="5"/>
        <v>462.79000000000065</v>
      </c>
    </row>
    <row r="180" spans="1:5">
      <c r="A180">
        <v>460.7</v>
      </c>
      <c r="B180">
        <v>4</v>
      </c>
      <c r="C180">
        <v>1842.8</v>
      </c>
      <c r="D180">
        <f t="shared" si="4"/>
        <v>1842.8</v>
      </c>
      <c r="E180" s="36">
        <f t="shared" si="5"/>
        <v>1842.7999999999988</v>
      </c>
    </row>
    <row r="181" spans="1:5">
      <c r="A181">
        <v>460.7</v>
      </c>
      <c r="B181">
        <v>1</v>
      </c>
      <c r="C181">
        <v>460.7</v>
      </c>
      <c r="D181">
        <f t="shared" si="4"/>
        <v>460.7</v>
      </c>
      <c r="E181" s="36">
        <f t="shared" si="5"/>
        <v>460.70000000000061</v>
      </c>
    </row>
    <row r="182" spans="1:5">
      <c r="A182">
        <v>358.31</v>
      </c>
      <c r="B182">
        <v>2</v>
      </c>
      <c r="C182">
        <v>716.62</v>
      </c>
      <c r="D182">
        <f t="shared" si="4"/>
        <v>716.62</v>
      </c>
      <c r="E182" s="36">
        <f t="shared" si="5"/>
        <v>716.62000000000035</v>
      </c>
    </row>
    <row r="183" spans="1:5">
      <c r="A183">
        <v>459.16</v>
      </c>
      <c r="B183">
        <v>5</v>
      </c>
      <c r="C183">
        <v>2295.8000000000002</v>
      </c>
      <c r="D183">
        <f t="shared" si="4"/>
        <v>2295.8000000000002</v>
      </c>
      <c r="E183" s="36">
        <f t="shared" si="5"/>
        <v>2295.7999999999984</v>
      </c>
    </row>
    <row r="184" spans="1:5">
      <c r="A184">
        <v>358.31</v>
      </c>
      <c r="B184">
        <v>2</v>
      </c>
      <c r="C184">
        <v>716.62</v>
      </c>
      <c r="D184">
        <f t="shared" si="4"/>
        <v>716.62</v>
      </c>
      <c r="E184" s="36">
        <f t="shared" si="5"/>
        <v>716.62000000000035</v>
      </c>
    </row>
    <row r="185" spans="1:5">
      <c r="A185">
        <v>358.31</v>
      </c>
      <c r="B185">
        <v>4</v>
      </c>
      <c r="C185">
        <v>1433.24</v>
      </c>
      <c r="D185">
        <f t="shared" si="4"/>
        <v>1433.24</v>
      </c>
      <c r="E185" s="36">
        <f t="shared" si="5"/>
        <v>1433.2399999999993</v>
      </c>
    </row>
    <row r="186" spans="1:5">
      <c r="A186">
        <v>358.31</v>
      </c>
      <c r="B186">
        <v>1</v>
      </c>
      <c r="C186">
        <v>358.31</v>
      </c>
      <c r="D186">
        <f t="shared" si="4"/>
        <v>358.31</v>
      </c>
      <c r="E186" s="36">
        <f t="shared" si="5"/>
        <v>358.3100000000008</v>
      </c>
    </row>
    <row r="187" spans="1:5">
      <c r="A187">
        <v>358.31</v>
      </c>
      <c r="B187">
        <v>1</v>
      </c>
      <c r="C187">
        <v>358.31</v>
      </c>
      <c r="D187">
        <f t="shared" si="4"/>
        <v>358.31</v>
      </c>
      <c r="E187" s="36">
        <f t="shared" si="5"/>
        <v>358.3100000000008</v>
      </c>
    </row>
    <row r="188" spans="1:5">
      <c r="A188">
        <v>358.31</v>
      </c>
      <c r="B188">
        <v>4</v>
      </c>
      <c r="C188">
        <v>1433.24</v>
      </c>
      <c r="D188">
        <f t="shared" si="4"/>
        <v>1433.24</v>
      </c>
      <c r="E188" s="36">
        <f t="shared" si="5"/>
        <v>1433.2399999999993</v>
      </c>
    </row>
    <row r="189" spans="1:5">
      <c r="A189">
        <v>358.31</v>
      </c>
      <c r="B189">
        <v>2</v>
      </c>
      <c r="C189">
        <v>716.62</v>
      </c>
      <c r="D189">
        <f t="shared" si="4"/>
        <v>716.62</v>
      </c>
      <c r="E189" s="36">
        <f t="shared" si="5"/>
        <v>716.62000000000035</v>
      </c>
    </row>
    <row r="190" spans="1:5">
      <c r="A190">
        <v>358.31</v>
      </c>
      <c r="B190">
        <v>1</v>
      </c>
      <c r="C190">
        <v>358.31</v>
      </c>
      <c r="D190">
        <f t="shared" si="4"/>
        <v>358.31</v>
      </c>
      <c r="E190" s="36">
        <f t="shared" si="5"/>
        <v>358.3100000000008</v>
      </c>
    </row>
    <row r="191" spans="1:5">
      <c r="A191">
        <v>333.08</v>
      </c>
      <c r="B191">
        <v>5</v>
      </c>
      <c r="C191">
        <v>1665.3999999999999</v>
      </c>
      <c r="D191">
        <f t="shared" si="4"/>
        <v>1665.3999999999999</v>
      </c>
      <c r="E191" s="36">
        <f t="shared" si="5"/>
        <v>1665.3999999999987</v>
      </c>
    </row>
    <row r="192" spans="1:5">
      <c r="A192">
        <v>317.67</v>
      </c>
      <c r="B192">
        <v>2</v>
      </c>
      <c r="C192">
        <v>635.34</v>
      </c>
      <c r="D192">
        <f t="shared" si="4"/>
        <v>635.34</v>
      </c>
      <c r="E192" s="36">
        <f t="shared" si="5"/>
        <v>635.34000000000049</v>
      </c>
    </row>
    <row r="193" spans="1:5">
      <c r="A193">
        <v>298.60000000000002</v>
      </c>
      <c r="B193">
        <v>2</v>
      </c>
      <c r="C193">
        <v>597.20000000000005</v>
      </c>
      <c r="D193">
        <f t="shared" si="4"/>
        <v>597.20000000000005</v>
      </c>
      <c r="E193" s="36">
        <f t="shared" si="5"/>
        <v>597.2000000000005</v>
      </c>
    </row>
    <row r="194" spans="1:5">
      <c r="A194">
        <v>257.38</v>
      </c>
      <c r="B194">
        <v>5</v>
      </c>
      <c r="C194">
        <v>1286.9000000000001</v>
      </c>
      <c r="D194">
        <f t="shared" si="4"/>
        <v>1286.9000000000001</v>
      </c>
      <c r="E194" s="36">
        <f t="shared" si="5"/>
        <v>1286.8999999999996</v>
      </c>
    </row>
    <row r="195" spans="1:5">
      <c r="A195">
        <v>188.94</v>
      </c>
      <c r="B195">
        <v>4</v>
      </c>
      <c r="C195">
        <v>755.76</v>
      </c>
      <c r="D195">
        <f t="shared" ref="D195:D258" si="6">A195*B195</f>
        <v>755.76</v>
      </c>
      <c r="E195" s="36">
        <f t="shared" ref="E195:E258" si="7">$G$7 * D195 + $H$7</f>
        <v>755.76000000000022</v>
      </c>
    </row>
    <row r="196" spans="1:5">
      <c r="A196">
        <v>188.94</v>
      </c>
      <c r="B196">
        <v>1</v>
      </c>
      <c r="C196">
        <v>188.94</v>
      </c>
      <c r="D196">
        <f t="shared" si="6"/>
        <v>188.94</v>
      </c>
      <c r="E196" s="36">
        <f t="shared" si="7"/>
        <v>188.94000000000099</v>
      </c>
    </row>
    <row r="197" spans="1:5">
      <c r="A197">
        <v>188.94</v>
      </c>
      <c r="B197">
        <v>1</v>
      </c>
      <c r="C197">
        <v>188.94</v>
      </c>
      <c r="D197">
        <f t="shared" si="6"/>
        <v>188.94</v>
      </c>
      <c r="E197" s="36">
        <f t="shared" si="7"/>
        <v>188.94000000000099</v>
      </c>
    </row>
    <row r="198" spans="1:5">
      <c r="A198">
        <v>188.94</v>
      </c>
      <c r="B198">
        <v>5</v>
      </c>
      <c r="C198">
        <v>944.7</v>
      </c>
      <c r="D198">
        <f t="shared" si="6"/>
        <v>944.7</v>
      </c>
      <c r="E198" s="36">
        <f t="shared" si="7"/>
        <v>944.7</v>
      </c>
    </row>
    <row r="199" spans="1:5">
      <c r="A199">
        <v>188.94</v>
      </c>
      <c r="B199">
        <v>1</v>
      </c>
      <c r="C199">
        <v>188.94</v>
      </c>
      <c r="D199">
        <f t="shared" si="6"/>
        <v>188.94</v>
      </c>
      <c r="E199" s="36">
        <f t="shared" si="7"/>
        <v>188.94000000000099</v>
      </c>
    </row>
    <row r="200" spans="1:5">
      <c r="A200">
        <v>160.57</v>
      </c>
      <c r="B200">
        <v>5</v>
      </c>
      <c r="C200">
        <v>802.84999999999991</v>
      </c>
      <c r="D200">
        <f t="shared" si="6"/>
        <v>802.84999999999991</v>
      </c>
      <c r="E200" s="36">
        <f t="shared" si="7"/>
        <v>802.85000000000014</v>
      </c>
    </row>
    <row r="201" spans="1:5">
      <c r="A201">
        <v>160.57</v>
      </c>
      <c r="B201">
        <v>1</v>
      </c>
      <c r="C201">
        <v>160.57</v>
      </c>
      <c r="D201">
        <f t="shared" si="6"/>
        <v>160.57</v>
      </c>
      <c r="E201" s="36">
        <f t="shared" si="7"/>
        <v>160.57000000000102</v>
      </c>
    </row>
    <row r="202" spans="1:5">
      <c r="A202">
        <v>160.57</v>
      </c>
      <c r="B202">
        <v>1</v>
      </c>
      <c r="C202">
        <v>160.57</v>
      </c>
      <c r="D202">
        <f t="shared" si="6"/>
        <v>160.57</v>
      </c>
      <c r="E202" s="36">
        <f t="shared" si="7"/>
        <v>160.57000000000102</v>
      </c>
    </row>
    <row r="203" spans="1:5">
      <c r="A203">
        <v>160.57</v>
      </c>
      <c r="B203">
        <v>2</v>
      </c>
      <c r="C203">
        <v>321.14</v>
      </c>
      <c r="D203">
        <f t="shared" si="6"/>
        <v>321.14</v>
      </c>
      <c r="E203" s="36">
        <f t="shared" si="7"/>
        <v>321.14000000000078</v>
      </c>
    </row>
    <row r="204" spans="1:5">
      <c r="A204">
        <v>160.57</v>
      </c>
      <c r="B204">
        <v>2</v>
      </c>
      <c r="C204">
        <v>321.14</v>
      </c>
      <c r="D204">
        <f t="shared" si="6"/>
        <v>321.14</v>
      </c>
      <c r="E204" s="36">
        <f t="shared" si="7"/>
        <v>321.14000000000078</v>
      </c>
    </row>
    <row r="205" spans="1:5">
      <c r="A205">
        <v>437.85</v>
      </c>
      <c r="B205">
        <v>5</v>
      </c>
      <c r="C205">
        <v>2189.25</v>
      </c>
      <c r="D205">
        <f t="shared" si="6"/>
        <v>2189.25</v>
      </c>
      <c r="E205" s="36">
        <f t="shared" si="7"/>
        <v>2189.2499999999986</v>
      </c>
    </row>
    <row r="206" spans="1:5">
      <c r="A206">
        <v>437.57</v>
      </c>
      <c r="B206">
        <v>4</v>
      </c>
      <c r="C206">
        <v>1750.28</v>
      </c>
      <c r="D206">
        <f t="shared" si="6"/>
        <v>1750.28</v>
      </c>
      <c r="E206" s="36">
        <f t="shared" si="7"/>
        <v>1750.2799999999988</v>
      </c>
    </row>
    <row r="207" spans="1:5">
      <c r="A207">
        <v>437.33</v>
      </c>
      <c r="B207">
        <v>3</v>
      </c>
      <c r="C207">
        <v>1311.99</v>
      </c>
      <c r="D207">
        <f t="shared" si="6"/>
        <v>1311.99</v>
      </c>
      <c r="E207" s="36">
        <f t="shared" si="7"/>
        <v>1311.9899999999993</v>
      </c>
    </row>
    <row r="208" spans="1:5">
      <c r="A208">
        <v>160.57</v>
      </c>
      <c r="B208">
        <v>4</v>
      </c>
      <c r="C208">
        <v>642.28</v>
      </c>
      <c r="D208">
        <f t="shared" si="6"/>
        <v>642.28</v>
      </c>
      <c r="E208" s="36">
        <f t="shared" si="7"/>
        <v>642.28000000000031</v>
      </c>
    </row>
    <row r="209" spans="1:5">
      <c r="A209">
        <v>431.4</v>
      </c>
      <c r="B209">
        <v>2</v>
      </c>
      <c r="C209">
        <v>862.8</v>
      </c>
      <c r="D209">
        <f t="shared" si="6"/>
        <v>862.8</v>
      </c>
      <c r="E209" s="36">
        <f t="shared" si="7"/>
        <v>862.80000000000007</v>
      </c>
    </row>
    <row r="210" spans="1:5">
      <c r="A210">
        <v>424.72</v>
      </c>
      <c r="B210">
        <v>2</v>
      </c>
      <c r="C210">
        <v>849.44</v>
      </c>
      <c r="D210">
        <f t="shared" si="6"/>
        <v>849.44</v>
      </c>
      <c r="E210" s="36">
        <f t="shared" si="7"/>
        <v>849.44000000000017</v>
      </c>
    </row>
    <row r="211" spans="1:5">
      <c r="A211">
        <v>424.72</v>
      </c>
      <c r="B211">
        <v>4</v>
      </c>
      <c r="C211">
        <v>1698.88</v>
      </c>
      <c r="D211">
        <f t="shared" si="6"/>
        <v>1698.88</v>
      </c>
      <c r="E211" s="36">
        <f t="shared" si="7"/>
        <v>1698.8799999999992</v>
      </c>
    </row>
    <row r="212" spans="1:5">
      <c r="A212">
        <v>160.57</v>
      </c>
      <c r="B212">
        <v>1</v>
      </c>
      <c r="C212">
        <v>160.57</v>
      </c>
      <c r="D212">
        <f t="shared" si="6"/>
        <v>160.57</v>
      </c>
      <c r="E212" s="36">
        <f t="shared" si="7"/>
        <v>160.57000000000102</v>
      </c>
    </row>
    <row r="213" spans="1:5">
      <c r="A213">
        <v>422.92</v>
      </c>
      <c r="B213">
        <v>1</v>
      </c>
      <c r="C213">
        <v>422.92</v>
      </c>
      <c r="D213">
        <f t="shared" si="6"/>
        <v>422.92</v>
      </c>
      <c r="E213" s="36">
        <f t="shared" si="7"/>
        <v>422.9200000000007</v>
      </c>
    </row>
    <row r="214" spans="1:5">
      <c r="A214">
        <v>411.77</v>
      </c>
      <c r="B214">
        <v>2</v>
      </c>
      <c r="C214">
        <v>823.54</v>
      </c>
      <c r="D214">
        <f t="shared" si="6"/>
        <v>823.54</v>
      </c>
      <c r="E214" s="36">
        <f t="shared" si="7"/>
        <v>823.54000000000008</v>
      </c>
    </row>
    <row r="215" spans="1:5">
      <c r="A215">
        <v>160.57</v>
      </c>
      <c r="B215">
        <v>4</v>
      </c>
      <c r="C215">
        <v>642.28</v>
      </c>
      <c r="D215">
        <f t="shared" si="6"/>
        <v>642.28</v>
      </c>
      <c r="E215" s="36">
        <f t="shared" si="7"/>
        <v>642.28000000000031</v>
      </c>
    </row>
    <row r="216" spans="1:5">
      <c r="A216">
        <v>411.57</v>
      </c>
      <c r="B216">
        <v>3</v>
      </c>
      <c r="C216">
        <v>1234.71</v>
      </c>
      <c r="D216">
        <f t="shared" si="6"/>
        <v>1234.71</v>
      </c>
      <c r="E216" s="36">
        <f t="shared" si="7"/>
        <v>1234.7099999999996</v>
      </c>
    </row>
    <row r="217" spans="1:5">
      <c r="A217">
        <v>411.57</v>
      </c>
      <c r="B217">
        <v>4</v>
      </c>
      <c r="C217">
        <v>1646.28</v>
      </c>
      <c r="D217">
        <f t="shared" si="6"/>
        <v>1646.28</v>
      </c>
      <c r="E217" s="36">
        <f t="shared" si="7"/>
        <v>1646.2799999999988</v>
      </c>
    </row>
    <row r="218" spans="1:5">
      <c r="A218">
        <v>411.57</v>
      </c>
      <c r="B218">
        <v>1</v>
      </c>
      <c r="C218">
        <v>411.57</v>
      </c>
      <c r="D218">
        <f t="shared" si="6"/>
        <v>411.57</v>
      </c>
      <c r="E218" s="36">
        <f t="shared" si="7"/>
        <v>411.57000000000068</v>
      </c>
    </row>
    <row r="219" spans="1:5">
      <c r="A219">
        <v>160.57</v>
      </c>
      <c r="B219">
        <v>2</v>
      </c>
      <c r="C219">
        <v>321.14</v>
      </c>
      <c r="D219">
        <f t="shared" si="6"/>
        <v>321.14</v>
      </c>
      <c r="E219" s="36">
        <f t="shared" si="7"/>
        <v>321.14000000000078</v>
      </c>
    </row>
    <row r="220" spans="1:5">
      <c r="A220">
        <v>406.7</v>
      </c>
      <c r="B220">
        <v>3</v>
      </c>
      <c r="C220">
        <v>1220.0999999999999</v>
      </c>
      <c r="D220">
        <f t="shared" si="6"/>
        <v>1220.0999999999999</v>
      </c>
      <c r="E220" s="36">
        <f t="shared" si="7"/>
        <v>1220.0999999999995</v>
      </c>
    </row>
    <row r="221" spans="1:5">
      <c r="A221">
        <v>406.67</v>
      </c>
      <c r="B221">
        <v>3</v>
      </c>
      <c r="C221">
        <v>1220.01</v>
      </c>
      <c r="D221">
        <f t="shared" si="6"/>
        <v>1220.01</v>
      </c>
      <c r="E221" s="36">
        <f t="shared" si="7"/>
        <v>1220.0099999999998</v>
      </c>
    </row>
    <row r="222" spans="1:5">
      <c r="A222">
        <v>160.57</v>
      </c>
      <c r="B222">
        <v>2</v>
      </c>
      <c r="C222">
        <v>321.14</v>
      </c>
      <c r="D222">
        <f t="shared" si="6"/>
        <v>321.14</v>
      </c>
      <c r="E222" s="36">
        <f t="shared" si="7"/>
        <v>321.14000000000078</v>
      </c>
    </row>
    <row r="223" spans="1:5">
      <c r="A223">
        <v>160.57</v>
      </c>
      <c r="B223">
        <v>1</v>
      </c>
      <c r="C223">
        <v>160.57</v>
      </c>
      <c r="D223">
        <f t="shared" si="6"/>
        <v>160.57</v>
      </c>
      <c r="E223" s="36">
        <f t="shared" si="7"/>
        <v>160.57000000000102</v>
      </c>
    </row>
    <row r="224" spans="1:5">
      <c r="A224">
        <v>160.57</v>
      </c>
      <c r="B224">
        <v>2</v>
      </c>
      <c r="C224">
        <v>321.14</v>
      </c>
      <c r="D224">
        <f t="shared" si="6"/>
        <v>321.14</v>
      </c>
      <c r="E224" s="36">
        <f t="shared" si="7"/>
        <v>321.14000000000078</v>
      </c>
    </row>
    <row r="225" spans="1:5">
      <c r="A225">
        <v>398.72</v>
      </c>
      <c r="B225">
        <v>5</v>
      </c>
      <c r="C225">
        <v>1993.6000000000001</v>
      </c>
      <c r="D225">
        <f t="shared" si="6"/>
        <v>1993.6000000000001</v>
      </c>
      <c r="E225" s="36">
        <f t="shared" si="7"/>
        <v>1993.5999999999985</v>
      </c>
    </row>
    <row r="226" spans="1:5">
      <c r="A226">
        <v>397.93</v>
      </c>
      <c r="B226">
        <v>1</v>
      </c>
      <c r="C226">
        <v>397.93</v>
      </c>
      <c r="D226">
        <f t="shared" si="6"/>
        <v>397.93</v>
      </c>
      <c r="E226" s="36">
        <f t="shared" si="7"/>
        <v>397.93000000000075</v>
      </c>
    </row>
    <row r="227" spans="1:5">
      <c r="A227">
        <v>394.14</v>
      </c>
      <c r="B227">
        <v>3</v>
      </c>
      <c r="C227">
        <v>1182.42</v>
      </c>
      <c r="D227">
        <f t="shared" si="6"/>
        <v>1182.42</v>
      </c>
      <c r="E227" s="36">
        <f t="shared" si="7"/>
        <v>1182.4199999999996</v>
      </c>
    </row>
    <row r="228" spans="1:5">
      <c r="A228">
        <v>394.14</v>
      </c>
      <c r="B228">
        <v>1</v>
      </c>
      <c r="C228">
        <v>394.14</v>
      </c>
      <c r="D228">
        <f t="shared" si="6"/>
        <v>394.14</v>
      </c>
      <c r="E228" s="36">
        <f t="shared" si="7"/>
        <v>394.14000000000073</v>
      </c>
    </row>
    <row r="229" spans="1:5">
      <c r="A229">
        <v>385.85</v>
      </c>
      <c r="B229">
        <v>2</v>
      </c>
      <c r="C229">
        <v>771.7</v>
      </c>
      <c r="D229">
        <f t="shared" si="6"/>
        <v>771.7</v>
      </c>
      <c r="E229" s="36">
        <f t="shared" si="7"/>
        <v>771.70000000000027</v>
      </c>
    </row>
    <row r="230" spans="1:5">
      <c r="A230">
        <v>380.7</v>
      </c>
      <c r="B230">
        <v>4</v>
      </c>
      <c r="C230">
        <v>1522.8</v>
      </c>
      <c r="D230">
        <f t="shared" si="6"/>
        <v>1522.8</v>
      </c>
      <c r="E230" s="36">
        <f t="shared" si="7"/>
        <v>1522.7999999999993</v>
      </c>
    </row>
    <row r="231" spans="1:5">
      <c r="A231">
        <v>378.36</v>
      </c>
      <c r="B231">
        <v>1</v>
      </c>
      <c r="C231">
        <v>378.36</v>
      </c>
      <c r="D231">
        <f t="shared" si="6"/>
        <v>378.36</v>
      </c>
      <c r="E231" s="36">
        <f t="shared" si="7"/>
        <v>378.36000000000075</v>
      </c>
    </row>
    <row r="232" spans="1:5">
      <c r="A232">
        <v>377.04</v>
      </c>
      <c r="B232">
        <v>1</v>
      </c>
      <c r="C232">
        <v>377.04</v>
      </c>
      <c r="D232">
        <f t="shared" si="6"/>
        <v>377.04</v>
      </c>
      <c r="E232" s="36">
        <f t="shared" si="7"/>
        <v>377.04000000000076</v>
      </c>
    </row>
    <row r="233" spans="1:5">
      <c r="A233">
        <v>372.73</v>
      </c>
      <c r="B233">
        <v>1</v>
      </c>
      <c r="C233">
        <v>372.73</v>
      </c>
      <c r="D233">
        <f t="shared" si="6"/>
        <v>372.73</v>
      </c>
      <c r="E233" s="36">
        <f t="shared" si="7"/>
        <v>372.73000000000076</v>
      </c>
    </row>
    <row r="234" spans="1:5">
      <c r="A234">
        <v>370.13</v>
      </c>
      <c r="B234">
        <v>1</v>
      </c>
      <c r="C234">
        <v>370.13</v>
      </c>
      <c r="D234">
        <f t="shared" si="6"/>
        <v>370.13</v>
      </c>
      <c r="E234" s="36">
        <f t="shared" si="7"/>
        <v>370.13000000000073</v>
      </c>
    </row>
    <row r="235" spans="1:5">
      <c r="A235">
        <v>160.57</v>
      </c>
      <c r="B235">
        <v>5</v>
      </c>
      <c r="C235">
        <v>802.84999999999991</v>
      </c>
      <c r="D235">
        <f t="shared" si="6"/>
        <v>802.84999999999991</v>
      </c>
      <c r="E235" s="36">
        <f t="shared" si="7"/>
        <v>802.85000000000014</v>
      </c>
    </row>
    <row r="236" spans="1:5">
      <c r="A236">
        <v>160.57</v>
      </c>
      <c r="B236">
        <v>4</v>
      </c>
      <c r="C236">
        <v>642.28</v>
      </c>
      <c r="D236">
        <f t="shared" si="6"/>
        <v>642.28</v>
      </c>
      <c r="E236" s="36">
        <f t="shared" si="7"/>
        <v>642.28000000000031</v>
      </c>
    </row>
    <row r="237" spans="1:5">
      <c r="A237">
        <v>160.57</v>
      </c>
      <c r="B237">
        <v>2</v>
      </c>
      <c r="C237">
        <v>321.14</v>
      </c>
      <c r="D237">
        <f t="shared" si="6"/>
        <v>321.14</v>
      </c>
      <c r="E237" s="36">
        <f t="shared" si="7"/>
        <v>321.14000000000078</v>
      </c>
    </row>
    <row r="238" spans="1:5">
      <c r="A238">
        <v>363.15</v>
      </c>
      <c r="B238">
        <v>5</v>
      </c>
      <c r="C238">
        <v>1815.75</v>
      </c>
      <c r="D238">
        <f t="shared" si="6"/>
        <v>1815.75</v>
      </c>
      <c r="E238" s="36">
        <f t="shared" si="7"/>
        <v>1815.7499999999986</v>
      </c>
    </row>
    <row r="239" spans="1:5">
      <c r="A239">
        <v>160.57</v>
      </c>
      <c r="B239">
        <v>2</v>
      </c>
      <c r="C239">
        <v>321.14</v>
      </c>
      <c r="D239">
        <f t="shared" si="6"/>
        <v>321.14</v>
      </c>
      <c r="E239" s="36">
        <f t="shared" si="7"/>
        <v>321.14000000000078</v>
      </c>
    </row>
    <row r="240" spans="1:5">
      <c r="A240">
        <v>160.57</v>
      </c>
      <c r="B240">
        <v>1</v>
      </c>
      <c r="C240">
        <v>160.57</v>
      </c>
      <c r="D240">
        <f t="shared" si="6"/>
        <v>160.57</v>
      </c>
      <c r="E240" s="36">
        <f t="shared" si="7"/>
        <v>160.57000000000102</v>
      </c>
    </row>
    <row r="241" spans="1:5">
      <c r="A241">
        <v>160.57</v>
      </c>
      <c r="B241">
        <v>5</v>
      </c>
      <c r="C241">
        <v>802.84999999999991</v>
      </c>
      <c r="D241">
        <f t="shared" si="6"/>
        <v>802.84999999999991</v>
      </c>
      <c r="E241" s="36">
        <f t="shared" si="7"/>
        <v>802.85000000000014</v>
      </c>
    </row>
    <row r="242" spans="1:5">
      <c r="A242">
        <v>160.57</v>
      </c>
      <c r="B242">
        <v>3</v>
      </c>
      <c r="C242">
        <v>481.71</v>
      </c>
      <c r="D242">
        <f t="shared" si="6"/>
        <v>481.71</v>
      </c>
      <c r="E242" s="36">
        <f t="shared" si="7"/>
        <v>481.7100000000006</v>
      </c>
    </row>
    <row r="243" spans="1:5">
      <c r="A243">
        <v>30.84</v>
      </c>
      <c r="B243">
        <v>5</v>
      </c>
      <c r="C243">
        <v>154.19999999999999</v>
      </c>
      <c r="D243">
        <f t="shared" si="6"/>
        <v>154.19999999999999</v>
      </c>
      <c r="E243" s="36">
        <f t="shared" si="7"/>
        <v>154.20000000000104</v>
      </c>
    </row>
    <row r="244" spans="1:5">
      <c r="A244">
        <v>30.84</v>
      </c>
      <c r="B244">
        <v>1</v>
      </c>
      <c r="C244">
        <v>30.84</v>
      </c>
      <c r="D244">
        <f t="shared" si="6"/>
        <v>30.84</v>
      </c>
      <c r="E244" s="36">
        <f t="shared" si="7"/>
        <v>30.840000000001208</v>
      </c>
    </row>
    <row r="245" spans="1:5">
      <c r="A245">
        <v>22.86</v>
      </c>
      <c r="B245">
        <v>4</v>
      </c>
      <c r="C245">
        <v>91.44</v>
      </c>
      <c r="D245">
        <f t="shared" si="6"/>
        <v>91.44</v>
      </c>
      <c r="E245" s="36">
        <f t="shared" si="7"/>
        <v>91.44000000000112</v>
      </c>
    </row>
    <row r="246" spans="1:5">
      <c r="A246">
        <v>1544.42</v>
      </c>
      <c r="B246">
        <v>1</v>
      </c>
      <c r="C246">
        <v>1544.42</v>
      </c>
      <c r="D246">
        <f t="shared" si="6"/>
        <v>1544.42</v>
      </c>
      <c r="E246" s="36">
        <f t="shared" si="7"/>
        <v>1544.4199999999992</v>
      </c>
    </row>
    <row r="247" spans="1:5">
      <c r="A247">
        <v>1133.3599999999999</v>
      </c>
      <c r="B247">
        <v>1</v>
      </c>
      <c r="C247">
        <v>1133.3599999999999</v>
      </c>
      <c r="D247">
        <f t="shared" si="6"/>
        <v>1133.3599999999999</v>
      </c>
      <c r="E247" s="36">
        <f t="shared" si="7"/>
        <v>1133.3599999999997</v>
      </c>
    </row>
    <row r="248" spans="1:5">
      <c r="A248">
        <v>359.6</v>
      </c>
      <c r="B248">
        <v>2</v>
      </c>
      <c r="C248">
        <v>719.2</v>
      </c>
      <c r="D248">
        <f t="shared" si="6"/>
        <v>719.2</v>
      </c>
      <c r="E248" s="36">
        <f t="shared" si="7"/>
        <v>719.20000000000039</v>
      </c>
    </row>
    <row r="249" spans="1:5">
      <c r="A249">
        <v>1133.3599999999999</v>
      </c>
      <c r="B249">
        <v>2</v>
      </c>
      <c r="C249">
        <v>2266.7199999999998</v>
      </c>
      <c r="D249">
        <f t="shared" si="6"/>
        <v>2266.7199999999998</v>
      </c>
      <c r="E249" s="36">
        <f t="shared" si="7"/>
        <v>2266.719999999998</v>
      </c>
    </row>
    <row r="250" spans="1:5">
      <c r="A250">
        <v>900.64</v>
      </c>
      <c r="B250">
        <v>4</v>
      </c>
      <c r="C250">
        <v>3602.56</v>
      </c>
      <c r="D250">
        <f t="shared" si="6"/>
        <v>3602.56</v>
      </c>
      <c r="E250" s="36">
        <f t="shared" si="7"/>
        <v>3602.5599999999963</v>
      </c>
    </row>
    <row r="251" spans="1:5">
      <c r="A251">
        <v>900.64</v>
      </c>
      <c r="B251">
        <v>3</v>
      </c>
      <c r="C251">
        <v>2701.92</v>
      </c>
      <c r="D251">
        <f t="shared" si="6"/>
        <v>2701.92</v>
      </c>
      <c r="E251" s="36">
        <f t="shared" si="7"/>
        <v>2701.9199999999978</v>
      </c>
    </row>
    <row r="252" spans="1:5">
      <c r="A252">
        <v>900.64</v>
      </c>
      <c r="B252">
        <v>5</v>
      </c>
      <c r="C252">
        <v>4503.2</v>
      </c>
      <c r="D252">
        <f t="shared" si="6"/>
        <v>4503.2</v>
      </c>
      <c r="E252" s="36">
        <f t="shared" si="7"/>
        <v>4503.1999999999944</v>
      </c>
    </row>
    <row r="253" spans="1:5">
      <c r="A253">
        <v>771.94</v>
      </c>
      <c r="B253">
        <v>1</v>
      </c>
      <c r="C253">
        <v>771.94</v>
      </c>
      <c r="D253">
        <f t="shared" si="6"/>
        <v>771.94</v>
      </c>
      <c r="E253" s="36">
        <f t="shared" si="7"/>
        <v>771.94000000000028</v>
      </c>
    </row>
    <row r="254" spans="1:5">
      <c r="A254">
        <v>717.39</v>
      </c>
      <c r="B254">
        <v>1</v>
      </c>
      <c r="C254">
        <v>717.39</v>
      </c>
      <c r="D254">
        <f t="shared" si="6"/>
        <v>717.39</v>
      </c>
      <c r="E254" s="36">
        <f t="shared" si="7"/>
        <v>717.39000000000033</v>
      </c>
    </row>
    <row r="255" spans="1:5">
      <c r="A255">
        <v>717.39</v>
      </c>
      <c r="B255">
        <v>2</v>
      </c>
      <c r="C255">
        <v>1434.78</v>
      </c>
      <c r="D255">
        <f t="shared" si="6"/>
        <v>1434.78</v>
      </c>
      <c r="E255" s="36">
        <f t="shared" si="7"/>
        <v>1434.7799999999993</v>
      </c>
    </row>
    <row r="256" spans="1:5">
      <c r="A256">
        <v>717.39</v>
      </c>
      <c r="B256">
        <v>3</v>
      </c>
      <c r="C256">
        <v>2152.17</v>
      </c>
      <c r="D256">
        <f t="shared" si="6"/>
        <v>2152.17</v>
      </c>
      <c r="E256" s="36">
        <f t="shared" si="7"/>
        <v>2152.1699999999987</v>
      </c>
    </row>
    <row r="257" spans="1:5">
      <c r="A257">
        <v>643.23</v>
      </c>
      <c r="B257">
        <v>2</v>
      </c>
      <c r="C257">
        <v>1286.46</v>
      </c>
      <c r="D257">
        <f t="shared" si="6"/>
        <v>1286.46</v>
      </c>
      <c r="E257" s="36">
        <f t="shared" si="7"/>
        <v>1286.4599999999996</v>
      </c>
    </row>
    <row r="258" spans="1:5">
      <c r="A258">
        <v>588.91999999999996</v>
      </c>
      <c r="B258">
        <v>2</v>
      </c>
      <c r="C258">
        <v>1177.8399999999999</v>
      </c>
      <c r="D258">
        <f t="shared" si="6"/>
        <v>1177.8399999999999</v>
      </c>
      <c r="E258" s="36">
        <f t="shared" si="7"/>
        <v>1177.8399999999997</v>
      </c>
    </row>
    <row r="259" spans="1:5">
      <c r="A259">
        <v>356.25</v>
      </c>
      <c r="B259">
        <v>4</v>
      </c>
      <c r="C259">
        <v>1425</v>
      </c>
      <c r="D259">
        <f t="shared" ref="D259:D322" si="8">A259*B259</f>
        <v>1425</v>
      </c>
      <c r="E259" s="36">
        <f t="shared" ref="E259:E322" si="9">$G$7 * D259 + $H$7</f>
        <v>1424.9999999999995</v>
      </c>
    </row>
    <row r="260" spans="1:5">
      <c r="A260">
        <v>351.1</v>
      </c>
      <c r="B260">
        <v>4</v>
      </c>
      <c r="C260">
        <v>1404.4</v>
      </c>
      <c r="D260">
        <f t="shared" si="8"/>
        <v>1404.4</v>
      </c>
      <c r="E260" s="36">
        <f t="shared" si="9"/>
        <v>1404.3999999999996</v>
      </c>
    </row>
    <row r="261" spans="1:5">
      <c r="A261">
        <v>347.49</v>
      </c>
      <c r="B261">
        <v>2</v>
      </c>
      <c r="C261">
        <v>694.98</v>
      </c>
      <c r="D261">
        <f t="shared" si="8"/>
        <v>694.98</v>
      </c>
      <c r="E261" s="36">
        <f t="shared" si="9"/>
        <v>694.98000000000036</v>
      </c>
    </row>
    <row r="262" spans="1:5">
      <c r="A262">
        <v>347.24</v>
      </c>
      <c r="B262">
        <v>3</v>
      </c>
      <c r="C262">
        <v>1041.72</v>
      </c>
      <c r="D262">
        <f t="shared" si="8"/>
        <v>1041.72</v>
      </c>
      <c r="E262" s="36">
        <f t="shared" si="9"/>
        <v>1041.7199999999998</v>
      </c>
    </row>
    <row r="263" spans="1:5">
      <c r="A263">
        <v>334.11</v>
      </c>
      <c r="B263">
        <v>5</v>
      </c>
      <c r="C263">
        <v>1670.5500000000002</v>
      </c>
      <c r="D263">
        <f t="shared" si="8"/>
        <v>1670.5500000000002</v>
      </c>
      <c r="E263" s="36">
        <f t="shared" si="9"/>
        <v>1670.5499999999993</v>
      </c>
    </row>
    <row r="264" spans="1:5">
      <c r="A264">
        <v>334.11</v>
      </c>
      <c r="B264">
        <v>1</v>
      </c>
      <c r="C264">
        <v>334.11</v>
      </c>
      <c r="D264">
        <f t="shared" si="8"/>
        <v>334.11</v>
      </c>
      <c r="E264" s="36">
        <f t="shared" si="9"/>
        <v>334.11000000000081</v>
      </c>
    </row>
    <row r="265" spans="1:5">
      <c r="A265">
        <v>334.11</v>
      </c>
      <c r="B265">
        <v>4</v>
      </c>
      <c r="C265">
        <v>1336.44</v>
      </c>
      <c r="D265">
        <f t="shared" si="8"/>
        <v>1336.44</v>
      </c>
      <c r="E265" s="36">
        <f t="shared" si="9"/>
        <v>1336.4399999999996</v>
      </c>
    </row>
    <row r="266" spans="1:5">
      <c r="A266">
        <v>579.14</v>
      </c>
      <c r="B266">
        <v>5</v>
      </c>
      <c r="C266">
        <v>2895.7</v>
      </c>
      <c r="D266">
        <f t="shared" si="8"/>
        <v>2895.7</v>
      </c>
      <c r="E266" s="36">
        <f t="shared" si="9"/>
        <v>2895.6999999999975</v>
      </c>
    </row>
    <row r="267" spans="1:5">
      <c r="A267">
        <v>321.73</v>
      </c>
      <c r="B267">
        <v>4</v>
      </c>
      <c r="C267">
        <v>1286.92</v>
      </c>
      <c r="D267">
        <f t="shared" si="8"/>
        <v>1286.92</v>
      </c>
      <c r="E267" s="36">
        <f t="shared" si="9"/>
        <v>1286.9199999999996</v>
      </c>
    </row>
    <row r="268" spans="1:5">
      <c r="A268">
        <v>503.09</v>
      </c>
      <c r="B268">
        <v>3</v>
      </c>
      <c r="C268">
        <v>1509.27</v>
      </c>
      <c r="D268">
        <f t="shared" si="8"/>
        <v>1509.27</v>
      </c>
      <c r="E268" s="36">
        <f t="shared" si="9"/>
        <v>1509.2699999999991</v>
      </c>
    </row>
    <row r="269" spans="1:5">
      <c r="A269">
        <v>503.09</v>
      </c>
      <c r="B269">
        <v>2</v>
      </c>
      <c r="C269">
        <v>1006.18</v>
      </c>
      <c r="D269">
        <f t="shared" si="8"/>
        <v>1006.18</v>
      </c>
      <c r="E269" s="36">
        <f t="shared" si="9"/>
        <v>1006.1799999999998</v>
      </c>
    </row>
    <row r="270" spans="1:5">
      <c r="A270">
        <v>308.86</v>
      </c>
      <c r="B270">
        <v>2</v>
      </c>
      <c r="C270">
        <v>617.72</v>
      </c>
      <c r="D270">
        <f t="shared" si="8"/>
        <v>617.72</v>
      </c>
      <c r="E270" s="36">
        <f t="shared" si="9"/>
        <v>617.72000000000048</v>
      </c>
    </row>
    <row r="271" spans="1:5">
      <c r="A271">
        <v>308.63</v>
      </c>
      <c r="B271">
        <v>4</v>
      </c>
      <c r="C271">
        <v>1234.52</v>
      </c>
      <c r="D271">
        <f t="shared" si="8"/>
        <v>1234.52</v>
      </c>
      <c r="E271" s="36">
        <f t="shared" si="9"/>
        <v>1234.5199999999995</v>
      </c>
    </row>
    <row r="272" spans="1:5">
      <c r="A272">
        <v>308.63</v>
      </c>
      <c r="B272">
        <v>3</v>
      </c>
      <c r="C272">
        <v>925.89</v>
      </c>
      <c r="D272">
        <f t="shared" si="8"/>
        <v>925.89</v>
      </c>
      <c r="E272" s="36">
        <f t="shared" si="9"/>
        <v>925.89</v>
      </c>
    </row>
    <row r="273" spans="1:5">
      <c r="A273">
        <v>308.61</v>
      </c>
      <c r="B273">
        <v>4</v>
      </c>
      <c r="C273">
        <v>1234.44</v>
      </c>
      <c r="D273">
        <f t="shared" si="8"/>
        <v>1234.44</v>
      </c>
      <c r="E273" s="36">
        <f t="shared" si="9"/>
        <v>1234.4399999999996</v>
      </c>
    </row>
    <row r="274" spans="1:5">
      <c r="A274">
        <v>308.61</v>
      </c>
      <c r="B274">
        <v>5</v>
      </c>
      <c r="C274">
        <v>1543.0500000000002</v>
      </c>
      <c r="D274">
        <f t="shared" si="8"/>
        <v>1543.0500000000002</v>
      </c>
      <c r="E274" s="36">
        <f t="shared" si="9"/>
        <v>1543.0499999999993</v>
      </c>
    </row>
    <row r="275" spans="1:5">
      <c r="A275">
        <v>308.61</v>
      </c>
      <c r="B275">
        <v>4</v>
      </c>
      <c r="C275">
        <v>1234.44</v>
      </c>
      <c r="D275">
        <f t="shared" si="8"/>
        <v>1234.44</v>
      </c>
      <c r="E275" s="36">
        <f t="shared" si="9"/>
        <v>1234.4399999999996</v>
      </c>
    </row>
    <row r="276" spans="1:5">
      <c r="A276">
        <v>308.61</v>
      </c>
      <c r="B276">
        <v>4</v>
      </c>
      <c r="C276">
        <v>1234.44</v>
      </c>
      <c r="D276">
        <f t="shared" si="8"/>
        <v>1234.44</v>
      </c>
      <c r="E276" s="36">
        <f t="shared" si="9"/>
        <v>1234.4399999999996</v>
      </c>
    </row>
    <row r="277" spans="1:5">
      <c r="A277">
        <v>308.45</v>
      </c>
      <c r="B277">
        <v>4</v>
      </c>
      <c r="C277">
        <v>1233.8</v>
      </c>
      <c r="D277">
        <f t="shared" si="8"/>
        <v>1233.8</v>
      </c>
      <c r="E277" s="36">
        <f t="shared" si="9"/>
        <v>1233.7999999999997</v>
      </c>
    </row>
    <row r="278" spans="1:5">
      <c r="A278">
        <v>308.45</v>
      </c>
      <c r="B278">
        <v>1</v>
      </c>
      <c r="C278">
        <v>308.45</v>
      </c>
      <c r="D278">
        <f t="shared" si="8"/>
        <v>308.45</v>
      </c>
      <c r="E278" s="36">
        <f t="shared" si="9"/>
        <v>308.45000000000084</v>
      </c>
    </row>
    <row r="279" spans="1:5">
      <c r="A279">
        <v>308.45</v>
      </c>
      <c r="B279">
        <v>3</v>
      </c>
      <c r="C279">
        <v>925.34999999999991</v>
      </c>
      <c r="D279">
        <f t="shared" si="8"/>
        <v>925.34999999999991</v>
      </c>
      <c r="E279" s="36">
        <f t="shared" si="9"/>
        <v>925.34999999999991</v>
      </c>
    </row>
    <row r="280" spans="1:5">
      <c r="A280">
        <v>488.8</v>
      </c>
      <c r="B280">
        <v>2</v>
      </c>
      <c r="C280">
        <v>977.6</v>
      </c>
      <c r="D280">
        <f t="shared" si="8"/>
        <v>977.6</v>
      </c>
      <c r="E280" s="36">
        <f t="shared" si="9"/>
        <v>977.6</v>
      </c>
    </row>
    <row r="281" spans="1:5">
      <c r="A281">
        <v>488.8</v>
      </c>
      <c r="B281">
        <v>1</v>
      </c>
      <c r="C281">
        <v>488.8</v>
      </c>
      <c r="D281">
        <f t="shared" si="8"/>
        <v>488.8</v>
      </c>
      <c r="E281" s="36">
        <f t="shared" si="9"/>
        <v>488.80000000000064</v>
      </c>
    </row>
    <row r="282" spans="1:5">
      <c r="A282">
        <v>303.74</v>
      </c>
      <c r="B282">
        <v>2</v>
      </c>
      <c r="C282">
        <v>607.48</v>
      </c>
      <c r="D282">
        <f t="shared" si="8"/>
        <v>607.48</v>
      </c>
      <c r="E282" s="36">
        <f t="shared" si="9"/>
        <v>607.48000000000047</v>
      </c>
    </row>
    <row r="283" spans="1:5">
      <c r="A283">
        <v>488.8</v>
      </c>
      <c r="B283">
        <v>5</v>
      </c>
      <c r="C283">
        <v>2444</v>
      </c>
      <c r="D283">
        <f t="shared" si="8"/>
        <v>2444</v>
      </c>
      <c r="E283" s="36">
        <f t="shared" si="9"/>
        <v>2443.9999999999982</v>
      </c>
    </row>
    <row r="284" spans="1:5">
      <c r="A284">
        <v>298.83</v>
      </c>
      <c r="B284">
        <v>2</v>
      </c>
      <c r="C284">
        <v>597.66</v>
      </c>
      <c r="D284">
        <f t="shared" si="8"/>
        <v>597.66</v>
      </c>
      <c r="E284" s="36">
        <f t="shared" si="9"/>
        <v>597.66000000000042</v>
      </c>
    </row>
    <row r="285" spans="1:5">
      <c r="A285">
        <v>488.8</v>
      </c>
      <c r="B285">
        <v>3</v>
      </c>
      <c r="C285">
        <v>1466.4</v>
      </c>
      <c r="D285">
        <f t="shared" si="8"/>
        <v>1466.4</v>
      </c>
      <c r="E285" s="36">
        <f t="shared" si="9"/>
        <v>1466.3999999999992</v>
      </c>
    </row>
    <row r="286" spans="1:5">
      <c r="A286">
        <v>293.7</v>
      </c>
      <c r="B286">
        <v>3</v>
      </c>
      <c r="C286">
        <v>881.09999999999991</v>
      </c>
      <c r="D286">
        <f t="shared" si="8"/>
        <v>881.09999999999991</v>
      </c>
      <c r="E286" s="36">
        <f t="shared" si="9"/>
        <v>881.1</v>
      </c>
    </row>
    <row r="287" spans="1:5">
      <c r="A287">
        <v>293.69</v>
      </c>
      <c r="B287">
        <v>5</v>
      </c>
      <c r="C287">
        <v>1468.45</v>
      </c>
      <c r="D287">
        <f t="shared" si="8"/>
        <v>1468.45</v>
      </c>
      <c r="E287" s="36">
        <f t="shared" si="9"/>
        <v>1468.4499999999994</v>
      </c>
    </row>
    <row r="288" spans="1:5">
      <c r="A288">
        <v>488.8</v>
      </c>
      <c r="B288">
        <v>1</v>
      </c>
      <c r="C288">
        <v>488.8</v>
      </c>
      <c r="D288">
        <f t="shared" si="8"/>
        <v>488.8</v>
      </c>
      <c r="E288" s="36">
        <f t="shared" si="9"/>
        <v>488.80000000000064</v>
      </c>
    </row>
    <row r="289" spans="1:5">
      <c r="A289">
        <v>488.8</v>
      </c>
      <c r="B289">
        <v>2</v>
      </c>
      <c r="C289">
        <v>977.6</v>
      </c>
      <c r="D289">
        <f t="shared" si="8"/>
        <v>977.6</v>
      </c>
      <c r="E289" s="36">
        <f t="shared" si="9"/>
        <v>977.6</v>
      </c>
    </row>
    <row r="290" spans="1:5">
      <c r="A290">
        <v>488.8</v>
      </c>
      <c r="B290">
        <v>5</v>
      </c>
      <c r="C290">
        <v>2444</v>
      </c>
      <c r="D290">
        <f t="shared" si="8"/>
        <v>2444</v>
      </c>
      <c r="E290" s="36">
        <f t="shared" si="9"/>
        <v>2443.9999999999982</v>
      </c>
    </row>
    <row r="291" spans="1:5">
      <c r="A291">
        <v>283.12</v>
      </c>
      <c r="B291">
        <v>5</v>
      </c>
      <c r="C291">
        <v>1415.6</v>
      </c>
      <c r="D291">
        <f t="shared" si="8"/>
        <v>1415.6</v>
      </c>
      <c r="E291" s="36">
        <f t="shared" si="9"/>
        <v>1415.5999999999995</v>
      </c>
    </row>
    <row r="292" spans="1:5">
      <c r="A292">
        <v>283.08999999999997</v>
      </c>
      <c r="B292">
        <v>1</v>
      </c>
      <c r="C292">
        <v>283.08999999999997</v>
      </c>
      <c r="D292">
        <f t="shared" si="8"/>
        <v>283.08999999999997</v>
      </c>
      <c r="E292" s="36">
        <f t="shared" si="9"/>
        <v>283.09000000000083</v>
      </c>
    </row>
    <row r="293" spans="1:5">
      <c r="A293">
        <v>282.89</v>
      </c>
      <c r="B293">
        <v>3</v>
      </c>
      <c r="C293">
        <v>848.67</v>
      </c>
      <c r="D293">
        <f t="shared" si="8"/>
        <v>848.67</v>
      </c>
      <c r="E293" s="36">
        <f t="shared" si="9"/>
        <v>848.67000000000007</v>
      </c>
    </row>
    <row r="294" spans="1:5">
      <c r="A294">
        <v>281.70999999999998</v>
      </c>
      <c r="B294">
        <v>2</v>
      </c>
      <c r="C294">
        <v>563.41999999999996</v>
      </c>
      <c r="D294">
        <f t="shared" si="8"/>
        <v>563.41999999999996</v>
      </c>
      <c r="E294" s="36">
        <f t="shared" si="9"/>
        <v>563.42000000000041</v>
      </c>
    </row>
    <row r="295" spans="1:5">
      <c r="A295">
        <v>280.57</v>
      </c>
      <c r="B295">
        <v>2</v>
      </c>
      <c r="C295">
        <v>561.14</v>
      </c>
      <c r="D295">
        <f t="shared" si="8"/>
        <v>561.14</v>
      </c>
      <c r="E295" s="36">
        <f t="shared" si="9"/>
        <v>561.14000000000044</v>
      </c>
    </row>
    <row r="296" spans="1:5">
      <c r="A296">
        <v>276.49</v>
      </c>
      <c r="B296">
        <v>3</v>
      </c>
      <c r="C296">
        <v>829.47</v>
      </c>
      <c r="D296">
        <f t="shared" si="8"/>
        <v>829.47</v>
      </c>
      <c r="E296" s="36">
        <f t="shared" si="9"/>
        <v>829.47000000000014</v>
      </c>
    </row>
    <row r="297" spans="1:5">
      <c r="A297">
        <v>488.8</v>
      </c>
      <c r="B297">
        <v>1</v>
      </c>
      <c r="C297">
        <v>488.8</v>
      </c>
      <c r="D297">
        <f t="shared" si="8"/>
        <v>488.8</v>
      </c>
      <c r="E297" s="36">
        <f t="shared" si="9"/>
        <v>488.80000000000064</v>
      </c>
    </row>
    <row r="298" spans="1:5">
      <c r="A298">
        <v>488.8</v>
      </c>
      <c r="B298">
        <v>2</v>
      </c>
      <c r="C298">
        <v>977.6</v>
      </c>
      <c r="D298">
        <f t="shared" si="8"/>
        <v>977.6</v>
      </c>
      <c r="E298" s="36">
        <f t="shared" si="9"/>
        <v>977.6</v>
      </c>
    </row>
    <row r="299" spans="1:5">
      <c r="A299">
        <v>488.8</v>
      </c>
      <c r="B299">
        <v>5</v>
      </c>
      <c r="C299">
        <v>2444</v>
      </c>
      <c r="D299">
        <f t="shared" si="8"/>
        <v>2444</v>
      </c>
      <c r="E299" s="36">
        <f t="shared" si="9"/>
        <v>2443.9999999999982</v>
      </c>
    </row>
    <row r="300" spans="1:5">
      <c r="A300">
        <v>460.5</v>
      </c>
      <c r="B300">
        <v>2</v>
      </c>
      <c r="C300">
        <v>921</v>
      </c>
      <c r="D300">
        <f t="shared" si="8"/>
        <v>921</v>
      </c>
      <c r="E300" s="36">
        <f t="shared" si="9"/>
        <v>921</v>
      </c>
    </row>
    <row r="301" spans="1:5">
      <c r="A301">
        <v>424.7</v>
      </c>
      <c r="B301">
        <v>4</v>
      </c>
      <c r="C301">
        <v>1698.8</v>
      </c>
      <c r="D301">
        <f t="shared" si="8"/>
        <v>1698.8</v>
      </c>
      <c r="E301" s="36">
        <f t="shared" si="9"/>
        <v>1698.7999999999988</v>
      </c>
    </row>
    <row r="302" spans="1:5">
      <c r="A302">
        <v>411.59</v>
      </c>
      <c r="B302">
        <v>3</v>
      </c>
      <c r="C302">
        <v>1234.77</v>
      </c>
      <c r="D302">
        <f t="shared" si="8"/>
        <v>1234.77</v>
      </c>
      <c r="E302" s="36">
        <f t="shared" si="9"/>
        <v>1234.7699999999995</v>
      </c>
    </row>
    <row r="303" spans="1:5">
      <c r="A303">
        <v>399.26</v>
      </c>
      <c r="B303">
        <v>3</v>
      </c>
      <c r="C303">
        <v>1197.78</v>
      </c>
      <c r="D303">
        <f t="shared" si="8"/>
        <v>1197.78</v>
      </c>
      <c r="E303" s="36">
        <f t="shared" si="9"/>
        <v>1197.7799999999997</v>
      </c>
    </row>
    <row r="304" spans="1:5">
      <c r="A304">
        <v>398.95</v>
      </c>
      <c r="B304">
        <v>3</v>
      </c>
      <c r="C304">
        <v>1196.8499999999999</v>
      </c>
      <c r="D304">
        <f t="shared" si="8"/>
        <v>1196.8499999999999</v>
      </c>
      <c r="E304" s="36">
        <f t="shared" si="9"/>
        <v>1196.8499999999995</v>
      </c>
    </row>
    <row r="305" spans="1:5">
      <c r="A305">
        <v>398.95</v>
      </c>
      <c r="B305">
        <v>3</v>
      </c>
      <c r="C305">
        <v>1196.8499999999999</v>
      </c>
      <c r="D305">
        <f t="shared" si="8"/>
        <v>1196.8499999999999</v>
      </c>
      <c r="E305" s="36">
        <f t="shared" si="9"/>
        <v>1196.8499999999995</v>
      </c>
    </row>
    <row r="306" spans="1:5">
      <c r="A306">
        <v>369.45</v>
      </c>
      <c r="B306">
        <v>3</v>
      </c>
      <c r="C306">
        <v>1108.3499999999999</v>
      </c>
      <c r="D306">
        <f t="shared" si="8"/>
        <v>1108.3499999999999</v>
      </c>
      <c r="E306" s="36">
        <f t="shared" si="9"/>
        <v>1108.3499999999999</v>
      </c>
    </row>
    <row r="307" spans="1:5">
      <c r="A307">
        <v>369.45</v>
      </c>
      <c r="B307">
        <v>2</v>
      </c>
      <c r="C307">
        <v>738.9</v>
      </c>
      <c r="D307">
        <f t="shared" si="8"/>
        <v>738.9</v>
      </c>
      <c r="E307" s="36">
        <f t="shared" si="9"/>
        <v>738.9000000000002</v>
      </c>
    </row>
    <row r="308" spans="1:5">
      <c r="A308">
        <v>369.45</v>
      </c>
      <c r="B308">
        <v>4</v>
      </c>
      <c r="C308">
        <v>1477.8</v>
      </c>
      <c r="D308">
        <f t="shared" si="8"/>
        <v>1477.8</v>
      </c>
      <c r="E308" s="36">
        <f t="shared" si="9"/>
        <v>1477.7999999999993</v>
      </c>
    </row>
    <row r="309" spans="1:5">
      <c r="A309">
        <v>362.29</v>
      </c>
      <c r="B309">
        <v>2</v>
      </c>
      <c r="C309">
        <v>724.58</v>
      </c>
      <c r="D309">
        <f t="shared" si="8"/>
        <v>724.58</v>
      </c>
      <c r="E309" s="36">
        <f t="shared" si="9"/>
        <v>724.58000000000038</v>
      </c>
    </row>
    <row r="310" spans="1:5">
      <c r="A310">
        <v>362.29</v>
      </c>
      <c r="B310">
        <v>3</v>
      </c>
      <c r="C310">
        <v>1086.8700000000001</v>
      </c>
      <c r="D310">
        <f t="shared" si="8"/>
        <v>1086.8700000000001</v>
      </c>
      <c r="E310" s="36">
        <f t="shared" si="9"/>
        <v>1086.8699999999999</v>
      </c>
    </row>
    <row r="311" spans="1:5">
      <c r="A311">
        <v>362.29</v>
      </c>
      <c r="B311">
        <v>3</v>
      </c>
      <c r="C311">
        <v>1086.8700000000001</v>
      </c>
      <c r="D311">
        <f t="shared" si="8"/>
        <v>1086.8700000000001</v>
      </c>
      <c r="E311" s="36">
        <f t="shared" si="9"/>
        <v>1086.8699999999999</v>
      </c>
    </row>
    <row r="312" spans="1:5">
      <c r="A312">
        <v>272.8</v>
      </c>
      <c r="B312">
        <v>4</v>
      </c>
      <c r="C312">
        <v>1091.2</v>
      </c>
      <c r="D312">
        <f t="shared" si="8"/>
        <v>1091.2</v>
      </c>
      <c r="E312" s="36">
        <f t="shared" si="9"/>
        <v>1091.1999999999998</v>
      </c>
    </row>
    <row r="313" spans="1:5">
      <c r="A313">
        <v>272.54000000000002</v>
      </c>
      <c r="B313">
        <v>5</v>
      </c>
      <c r="C313">
        <v>1362.7</v>
      </c>
      <c r="D313">
        <f t="shared" si="8"/>
        <v>1362.7</v>
      </c>
      <c r="E313" s="36">
        <f t="shared" si="9"/>
        <v>1362.6999999999994</v>
      </c>
    </row>
    <row r="314" spans="1:5">
      <c r="A314">
        <v>269.77999999999997</v>
      </c>
      <c r="B314">
        <v>5</v>
      </c>
      <c r="C314">
        <v>1348.8999999999999</v>
      </c>
      <c r="D314">
        <f t="shared" si="8"/>
        <v>1348.8999999999999</v>
      </c>
      <c r="E314" s="36">
        <f t="shared" si="9"/>
        <v>1348.8999999999992</v>
      </c>
    </row>
    <row r="315" spans="1:5">
      <c r="A315">
        <v>269.77999999999997</v>
      </c>
      <c r="B315">
        <v>3</v>
      </c>
      <c r="C315">
        <v>809.33999999999992</v>
      </c>
      <c r="D315">
        <f t="shared" si="8"/>
        <v>809.33999999999992</v>
      </c>
      <c r="E315" s="36">
        <f t="shared" si="9"/>
        <v>809.34000000000015</v>
      </c>
    </row>
    <row r="316" spans="1:5">
      <c r="A316">
        <v>269.77999999999997</v>
      </c>
      <c r="B316">
        <v>3</v>
      </c>
      <c r="C316">
        <v>809.33999999999992</v>
      </c>
      <c r="D316">
        <f t="shared" si="8"/>
        <v>809.33999999999992</v>
      </c>
      <c r="E316" s="36">
        <f t="shared" si="9"/>
        <v>809.34000000000015</v>
      </c>
    </row>
    <row r="317" spans="1:5">
      <c r="A317">
        <v>267.95999999999998</v>
      </c>
      <c r="B317">
        <v>4</v>
      </c>
      <c r="C317">
        <v>1071.8399999999999</v>
      </c>
      <c r="D317">
        <f t="shared" si="8"/>
        <v>1071.8399999999999</v>
      </c>
      <c r="E317" s="36">
        <f t="shared" si="9"/>
        <v>1071.8399999999997</v>
      </c>
    </row>
    <row r="318" spans="1:5">
      <c r="A318">
        <v>266</v>
      </c>
      <c r="B318">
        <v>4</v>
      </c>
      <c r="C318">
        <v>1064</v>
      </c>
      <c r="D318">
        <f t="shared" si="8"/>
        <v>1064</v>
      </c>
      <c r="E318" s="36">
        <f t="shared" si="9"/>
        <v>1064</v>
      </c>
    </row>
    <row r="319" spans="1:5">
      <c r="A319">
        <v>265.39</v>
      </c>
      <c r="B319">
        <v>2</v>
      </c>
      <c r="C319">
        <v>530.78</v>
      </c>
      <c r="D319">
        <f t="shared" si="8"/>
        <v>530.78</v>
      </c>
      <c r="E319" s="36">
        <f t="shared" si="9"/>
        <v>530.78000000000054</v>
      </c>
    </row>
    <row r="320" spans="1:5">
      <c r="A320">
        <v>262.3</v>
      </c>
      <c r="B320">
        <v>5</v>
      </c>
      <c r="C320">
        <v>1311.5</v>
      </c>
      <c r="D320">
        <f t="shared" si="8"/>
        <v>1311.5</v>
      </c>
      <c r="E320" s="36">
        <f t="shared" si="9"/>
        <v>1311.4999999999995</v>
      </c>
    </row>
    <row r="321" spans="1:5">
      <c r="A321">
        <v>362.29</v>
      </c>
      <c r="B321">
        <v>5</v>
      </c>
      <c r="C321">
        <v>1811.45</v>
      </c>
      <c r="D321">
        <f t="shared" si="8"/>
        <v>1811.45</v>
      </c>
      <c r="E321" s="36">
        <f t="shared" si="9"/>
        <v>1811.4499999999989</v>
      </c>
    </row>
    <row r="322" spans="1:5">
      <c r="A322">
        <v>260.52999999999997</v>
      </c>
      <c r="B322">
        <v>5</v>
      </c>
      <c r="C322">
        <v>1302.6499999999999</v>
      </c>
      <c r="D322">
        <f t="shared" si="8"/>
        <v>1302.6499999999999</v>
      </c>
      <c r="E322" s="36">
        <f t="shared" si="9"/>
        <v>1302.6499999999992</v>
      </c>
    </row>
    <row r="323" spans="1:5">
      <c r="A323">
        <v>362.29</v>
      </c>
      <c r="B323">
        <v>3</v>
      </c>
      <c r="C323">
        <v>1086.8700000000001</v>
      </c>
      <c r="D323">
        <f t="shared" ref="D323:D386" si="10">A323*B323</f>
        <v>1086.8700000000001</v>
      </c>
      <c r="E323" s="36">
        <f t="shared" ref="E323:E386" si="11">$G$7 * D323 + $H$7</f>
        <v>1086.8699999999999</v>
      </c>
    </row>
    <row r="324" spans="1:5">
      <c r="A324">
        <v>362.29</v>
      </c>
      <c r="B324">
        <v>5</v>
      </c>
      <c r="C324">
        <v>1811.45</v>
      </c>
      <c r="D324">
        <f t="shared" si="10"/>
        <v>1811.45</v>
      </c>
      <c r="E324" s="36">
        <f t="shared" si="11"/>
        <v>1811.4499999999989</v>
      </c>
    </row>
    <row r="325" spans="1:5">
      <c r="A325">
        <v>257.38</v>
      </c>
      <c r="B325">
        <v>4</v>
      </c>
      <c r="C325">
        <v>1029.52</v>
      </c>
      <c r="D325">
        <f t="shared" si="10"/>
        <v>1029.52</v>
      </c>
      <c r="E325" s="36">
        <f t="shared" si="11"/>
        <v>1029.52</v>
      </c>
    </row>
    <row r="326" spans="1:5">
      <c r="A326">
        <v>257.38</v>
      </c>
      <c r="B326">
        <v>4</v>
      </c>
      <c r="C326">
        <v>1029.52</v>
      </c>
      <c r="D326">
        <f t="shared" si="10"/>
        <v>1029.52</v>
      </c>
      <c r="E326" s="36">
        <f t="shared" si="11"/>
        <v>1029.52</v>
      </c>
    </row>
    <row r="327" spans="1:5">
      <c r="A327">
        <v>257.14999999999998</v>
      </c>
      <c r="B327">
        <v>3</v>
      </c>
      <c r="C327">
        <v>771.44999999999993</v>
      </c>
      <c r="D327">
        <f t="shared" si="10"/>
        <v>771.44999999999993</v>
      </c>
      <c r="E327" s="36">
        <f t="shared" si="11"/>
        <v>771.45000000000016</v>
      </c>
    </row>
    <row r="328" spans="1:5">
      <c r="A328">
        <v>257.14999999999998</v>
      </c>
      <c r="B328">
        <v>1</v>
      </c>
      <c r="C328">
        <v>257.14999999999998</v>
      </c>
      <c r="D328">
        <f t="shared" si="10"/>
        <v>257.14999999999998</v>
      </c>
      <c r="E328" s="36">
        <f t="shared" si="11"/>
        <v>257.15000000000089</v>
      </c>
    </row>
    <row r="329" spans="1:5">
      <c r="A329">
        <v>257.12</v>
      </c>
      <c r="B329">
        <v>3</v>
      </c>
      <c r="C329">
        <v>771.36</v>
      </c>
      <c r="D329">
        <f t="shared" si="10"/>
        <v>771.36</v>
      </c>
      <c r="E329" s="36">
        <f t="shared" si="11"/>
        <v>771.36000000000024</v>
      </c>
    </row>
    <row r="330" spans="1:5">
      <c r="A330">
        <v>256.74</v>
      </c>
      <c r="B330">
        <v>3</v>
      </c>
      <c r="C330">
        <v>770.22</v>
      </c>
      <c r="D330">
        <f t="shared" si="10"/>
        <v>770.22</v>
      </c>
      <c r="E330" s="36">
        <f t="shared" si="11"/>
        <v>770.22000000000025</v>
      </c>
    </row>
    <row r="331" spans="1:5">
      <c r="A331">
        <v>256.74</v>
      </c>
      <c r="B331">
        <v>3</v>
      </c>
      <c r="C331">
        <v>770.22</v>
      </c>
      <c r="D331">
        <f t="shared" si="10"/>
        <v>770.22</v>
      </c>
      <c r="E331" s="36">
        <f t="shared" si="11"/>
        <v>770.22000000000025</v>
      </c>
    </row>
    <row r="332" spans="1:5">
      <c r="A332">
        <v>254.78</v>
      </c>
      <c r="B332">
        <v>1</v>
      </c>
      <c r="C332">
        <v>254.78</v>
      </c>
      <c r="D332">
        <f t="shared" si="10"/>
        <v>254.78</v>
      </c>
      <c r="E332" s="36">
        <f t="shared" si="11"/>
        <v>254.78000000000091</v>
      </c>
    </row>
    <row r="333" spans="1:5">
      <c r="A333">
        <v>254.71</v>
      </c>
      <c r="B333">
        <v>2</v>
      </c>
      <c r="C333">
        <v>509.42</v>
      </c>
      <c r="D333">
        <f t="shared" si="10"/>
        <v>509.42</v>
      </c>
      <c r="E333" s="36">
        <f t="shared" si="11"/>
        <v>509.42000000000058</v>
      </c>
    </row>
    <row r="334" spans="1:5">
      <c r="A334">
        <v>252.23</v>
      </c>
      <c r="B334">
        <v>2</v>
      </c>
      <c r="C334">
        <v>504.46</v>
      </c>
      <c r="D334">
        <f t="shared" si="10"/>
        <v>504.46</v>
      </c>
      <c r="E334" s="36">
        <f t="shared" si="11"/>
        <v>504.46000000000055</v>
      </c>
    </row>
    <row r="335" spans="1:5">
      <c r="A335">
        <v>252.23</v>
      </c>
      <c r="B335">
        <v>1</v>
      </c>
      <c r="C335">
        <v>252.23</v>
      </c>
      <c r="D335">
        <f t="shared" si="10"/>
        <v>252.23</v>
      </c>
      <c r="E335" s="36">
        <f t="shared" si="11"/>
        <v>252.2300000000009</v>
      </c>
    </row>
    <row r="336" spans="1:5">
      <c r="A336">
        <v>252.23</v>
      </c>
      <c r="B336">
        <v>2</v>
      </c>
      <c r="C336">
        <v>504.46</v>
      </c>
      <c r="D336">
        <f t="shared" si="10"/>
        <v>504.46</v>
      </c>
      <c r="E336" s="36">
        <f t="shared" si="11"/>
        <v>504.46000000000055</v>
      </c>
    </row>
    <row r="337" spans="1:5">
      <c r="A337">
        <v>251.95</v>
      </c>
      <c r="B337">
        <v>3</v>
      </c>
      <c r="C337">
        <v>755.84999999999991</v>
      </c>
      <c r="D337">
        <f t="shared" si="10"/>
        <v>755.84999999999991</v>
      </c>
      <c r="E337" s="36">
        <f t="shared" si="11"/>
        <v>755.85000000000014</v>
      </c>
    </row>
    <row r="338" spans="1:5">
      <c r="A338">
        <v>244.02</v>
      </c>
      <c r="B338">
        <v>1</v>
      </c>
      <c r="C338">
        <v>244.02</v>
      </c>
      <c r="D338">
        <f t="shared" si="10"/>
        <v>244.02</v>
      </c>
      <c r="E338" s="36">
        <f t="shared" si="11"/>
        <v>244.02000000000095</v>
      </c>
    </row>
    <row r="339" spans="1:5">
      <c r="A339">
        <v>243.96</v>
      </c>
      <c r="B339">
        <v>1</v>
      </c>
      <c r="C339">
        <v>243.96</v>
      </c>
      <c r="D339">
        <f t="shared" si="10"/>
        <v>243.96</v>
      </c>
      <c r="E339" s="36">
        <f t="shared" si="11"/>
        <v>243.96000000000095</v>
      </c>
    </row>
    <row r="340" spans="1:5">
      <c r="A340">
        <v>362.29</v>
      </c>
      <c r="B340">
        <v>2</v>
      </c>
      <c r="C340">
        <v>724.58</v>
      </c>
      <c r="D340">
        <f t="shared" si="10"/>
        <v>724.58</v>
      </c>
      <c r="E340" s="36">
        <f t="shared" si="11"/>
        <v>724.58000000000038</v>
      </c>
    </row>
    <row r="341" spans="1:5">
      <c r="A341">
        <v>362.29</v>
      </c>
      <c r="B341">
        <v>1</v>
      </c>
      <c r="C341">
        <v>362.29</v>
      </c>
      <c r="D341">
        <f t="shared" si="10"/>
        <v>362.29</v>
      </c>
      <c r="E341" s="36">
        <f t="shared" si="11"/>
        <v>362.29000000000082</v>
      </c>
    </row>
    <row r="342" spans="1:5">
      <c r="A342">
        <v>362.29</v>
      </c>
      <c r="B342">
        <v>1</v>
      </c>
      <c r="C342">
        <v>362.29</v>
      </c>
      <c r="D342">
        <f t="shared" si="10"/>
        <v>362.29</v>
      </c>
      <c r="E342" s="36">
        <f t="shared" si="11"/>
        <v>362.29000000000082</v>
      </c>
    </row>
    <row r="343" spans="1:5">
      <c r="A343">
        <v>313.77999999999997</v>
      </c>
      <c r="B343">
        <v>4</v>
      </c>
      <c r="C343">
        <v>1255.1199999999999</v>
      </c>
      <c r="D343">
        <f t="shared" si="10"/>
        <v>1255.1199999999999</v>
      </c>
      <c r="E343" s="36">
        <f t="shared" si="11"/>
        <v>1255.1199999999994</v>
      </c>
    </row>
    <row r="344" spans="1:5">
      <c r="A344">
        <v>306.05</v>
      </c>
      <c r="B344">
        <v>4</v>
      </c>
      <c r="C344">
        <v>1224.2</v>
      </c>
      <c r="D344">
        <f t="shared" si="10"/>
        <v>1224.2</v>
      </c>
      <c r="E344" s="36">
        <f t="shared" si="11"/>
        <v>1224.1999999999998</v>
      </c>
    </row>
    <row r="345" spans="1:5">
      <c r="A345">
        <v>306.05</v>
      </c>
      <c r="B345">
        <v>3</v>
      </c>
      <c r="C345">
        <v>918.15000000000009</v>
      </c>
      <c r="D345">
        <f t="shared" si="10"/>
        <v>918.15000000000009</v>
      </c>
      <c r="E345" s="36">
        <f t="shared" si="11"/>
        <v>918.15000000000009</v>
      </c>
    </row>
    <row r="346" spans="1:5">
      <c r="A346">
        <v>301.08</v>
      </c>
      <c r="B346">
        <v>3</v>
      </c>
      <c r="C346">
        <v>903.24</v>
      </c>
      <c r="D346">
        <f t="shared" si="10"/>
        <v>903.24</v>
      </c>
      <c r="E346" s="36">
        <f t="shared" si="11"/>
        <v>903.24</v>
      </c>
    </row>
    <row r="347" spans="1:5">
      <c r="A347">
        <v>290.82</v>
      </c>
      <c r="B347">
        <v>4</v>
      </c>
      <c r="C347">
        <v>1163.28</v>
      </c>
      <c r="D347">
        <f t="shared" si="10"/>
        <v>1163.28</v>
      </c>
      <c r="E347" s="36">
        <f t="shared" si="11"/>
        <v>1163.2799999999997</v>
      </c>
    </row>
    <row r="348" spans="1:5">
      <c r="A348">
        <v>290.82</v>
      </c>
      <c r="B348">
        <v>2</v>
      </c>
      <c r="C348">
        <v>581.64</v>
      </c>
      <c r="D348">
        <f t="shared" si="10"/>
        <v>581.64</v>
      </c>
      <c r="E348" s="36">
        <f t="shared" si="11"/>
        <v>581.64000000000044</v>
      </c>
    </row>
    <row r="349" spans="1:5">
      <c r="A349">
        <v>290.82</v>
      </c>
      <c r="B349">
        <v>5</v>
      </c>
      <c r="C349">
        <v>1454.1</v>
      </c>
      <c r="D349">
        <f t="shared" si="10"/>
        <v>1454.1</v>
      </c>
      <c r="E349" s="36">
        <f t="shared" si="11"/>
        <v>1454.099999999999</v>
      </c>
    </row>
    <row r="350" spans="1:5">
      <c r="A350">
        <v>275.25</v>
      </c>
      <c r="B350">
        <v>4</v>
      </c>
      <c r="C350">
        <v>1101</v>
      </c>
      <c r="D350">
        <f t="shared" si="10"/>
        <v>1101</v>
      </c>
      <c r="E350" s="36">
        <f t="shared" si="11"/>
        <v>1101</v>
      </c>
    </row>
    <row r="351" spans="1:5">
      <c r="A351">
        <v>275.25</v>
      </c>
      <c r="B351">
        <v>4</v>
      </c>
      <c r="C351">
        <v>1101</v>
      </c>
      <c r="D351">
        <f t="shared" si="10"/>
        <v>1101</v>
      </c>
      <c r="E351" s="36">
        <f t="shared" si="11"/>
        <v>1101</v>
      </c>
    </row>
    <row r="352" spans="1:5">
      <c r="A352">
        <v>275.25</v>
      </c>
      <c r="B352">
        <v>3</v>
      </c>
      <c r="C352">
        <v>825.75</v>
      </c>
      <c r="D352">
        <f t="shared" si="10"/>
        <v>825.75</v>
      </c>
      <c r="E352" s="36">
        <f t="shared" si="11"/>
        <v>825.75000000000011</v>
      </c>
    </row>
    <row r="353" spans="1:5">
      <c r="A353">
        <v>275.25</v>
      </c>
      <c r="B353">
        <v>5</v>
      </c>
      <c r="C353">
        <v>1376.25</v>
      </c>
      <c r="D353">
        <f t="shared" si="10"/>
        <v>1376.25</v>
      </c>
      <c r="E353" s="36">
        <f t="shared" si="11"/>
        <v>1376.2499999999995</v>
      </c>
    </row>
    <row r="354" spans="1:5">
      <c r="A354">
        <v>275.25</v>
      </c>
      <c r="B354">
        <v>5</v>
      </c>
      <c r="C354">
        <v>1376.25</v>
      </c>
      <c r="D354">
        <f t="shared" si="10"/>
        <v>1376.25</v>
      </c>
      <c r="E354" s="36">
        <f t="shared" si="11"/>
        <v>1376.2499999999995</v>
      </c>
    </row>
    <row r="355" spans="1:5">
      <c r="A355">
        <v>275.25</v>
      </c>
      <c r="B355">
        <v>1</v>
      </c>
      <c r="C355">
        <v>275.25</v>
      </c>
      <c r="D355">
        <f t="shared" si="10"/>
        <v>275.25</v>
      </c>
      <c r="E355" s="36">
        <f t="shared" si="11"/>
        <v>275.25000000000091</v>
      </c>
    </row>
    <row r="356" spans="1:5">
      <c r="A356">
        <v>275.25</v>
      </c>
      <c r="B356">
        <v>2</v>
      </c>
      <c r="C356">
        <v>550.5</v>
      </c>
      <c r="D356">
        <f t="shared" si="10"/>
        <v>550.5</v>
      </c>
      <c r="E356" s="36">
        <f t="shared" si="11"/>
        <v>550.50000000000057</v>
      </c>
    </row>
    <row r="357" spans="1:5">
      <c r="A357">
        <v>275.25</v>
      </c>
      <c r="B357">
        <v>2</v>
      </c>
      <c r="C357">
        <v>550.5</v>
      </c>
      <c r="D357">
        <f t="shared" si="10"/>
        <v>550.5</v>
      </c>
      <c r="E357" s="36">
        <f t="shared" si="11"/>
        <v>550.50000000000057</v>
      </c>
    </row>
    <row r="358" spans="1:5">
      <c r="A358">
        <v>275.25</v>
      </c>
      <c r="B358">
        <v>2</v>
      </c>
      <c r="C358">
        <v>550.5</v>
      </c>
      <c r="D358">
        <f t="shared" si="10"/>
        <v>550.5</v>
      </c>
      <c r="E358" s="36">
        <f t="shared" si="11"/>
        <v>550.50000000000057</v>
      </c>
    </row>
    <row r="359" spans="1:5">
      <c r="A359">
        <v>275.25</v>
      </c>
      <c r="B359">
        <v>2</v>
      </c>
      <c r="C359">
        <v>550.5</v>
      </c>
      <c r="D359">
        <f t="shared" si="10"/>
        <v>550.5</v>
      </c>
      <c r="E359" s="36">
        <f t="shared" si="11"/>
        <v>550.50000000000057</v>
      </c>
    </row>
    <row r="360" spans="1:5">
      <c r="A360">
        <v>275.25</v>
      </c>
      <c r="B360">
        <v>3</v>
      </c>
      <c r="C360">
        <v>825.75</v>
      </c>
      <c r="D360">
        <f t="shared" si="10"/>
        <v>825.75</v>
      </c>
      <c r="E360" s="36">
        <f t="shared" si="11"/>
        <v>825.75000000000011</v>
      </c>
    </row>
    <row r="361" spans="1:5">
      <c r="A361">
        <v>275.25</v>
      </c>
      <c r="B361">
        <v>4</v>
      </c>
      <c r="C361">
        <v>1101</v>
      </c>
      <c r="D361">
        <f t="shared" si="10"/>
        <v>1101</v>
      </c>
      <c r="E361" s="36">
        <f t="shared" si="11"/>
        <v>1101</v>
      </c>
    </row>
    <row r="362" spans="1:5">
      <c r="A362">
        <v>275.25</v>
      </c>
      <c r="B362">
        <v>3</v>
      </c>
      <c r="C362">
        <v>825.75</v>
      </c>
      <c r="D362">
        <f t="shared" si="10"/>
        <v>825.75</v>
      </c>
      <c r="E362" s="36">
        <f t="shared" si="11"/>
        <v>825.75000000000011</v>
      </c>
    </row>
    <row r="363" spans="1:5">
      <c r="A363">
        <v>273.56</v>
      </c>
      <c r="B363">
        <v>1</v>
      </c>
      <c r="C363">
        <v>273.56</v>
      </c>
      <c r="D363">
        <f t="shared" si="10"/>
        <v>273.56</v>
      </c>
      <c r="E363" s="36">
        <f t="shared" si="11"/>
        <v>273.56000000000091</v>
      </c>
    </row>
    <row r="364" spans="1:5">
      <c r="A364">
        <v>273.56</v>
      </c>
      <c r="B364">
        <v>1</v>
      </c>
      <c r="C364">
        <v>273.56</v>
      </c>
      <c r="D364">
        <f t="shared" si="10"/>
        <v>273.56</v>
      </c>
      <c r="E364" s="36">
        <f t="shared" si="11"/>
        <v>273.56000000000091</v>
      </c>
    </row>
    <row r="365" spans="1:5">
      <c r="A365">
        <v>261.64999999999998</v>
      </c>
      <c r="B365">
        <v>3</v>
      </c>
      <c r="C365">
        <v>784.94999999999993</v>
      </c>
      <c r="D365">
        <f t="shared" si="10"/>
        <v>784.94999999999993</v>
      </c>
      <c r="E365" s="36">
        <f t="shared" si="11"/>
        <v>784.95000000000016</v>
      </c>
    </row>
    <row r="366" spans="1:5">
      <c r="A366">
        <v>257.87</v>
      </c>
      <c r="B366">
        <v>4</v>
      </c>
      <c r="C366">
        <v>1031.48</v>
      </c>
      <c r="D366">
        <f t="shared" si="10"/>
        <v>1031.48</v>
      </c>
      <c r="E366" s="36">
        <f t="shared" si="11"/>
        <v>1031.48</v>
      </c>
    </row>
    <row r="367" spans="1:5">
      <c r="A367">
        <v>242.72</v>
      </c>
      <c r="B367">
        <v>1</v>
      </c>
      <c r="C367">
        <v>242.72</v>
      </c>
      <c r="D367">
        <f t="shared" si="10"/>
        <v>242.72</v>
      </c>
      <c r="E367" s="36">
        <f t="shared" si="11"/>
        <v>242.72000000000094</v>
      </c>
    </row>
    <row r="368" spans="1:5">
      <c r="A368">
        <v>242.72</v>
      </c>
      <c r="B368">
        <v>4</v>
      </c>
      <c r="C368">
        <v>970.88</v>
      </c>
      <c r="D368">
        <f t="shared" si="10"/>
        <v>970.88</v>
      </c>
      <c r="E368" s="36">
        <f t="shared" si="11"/>
        <v>970.88</v>
      </c>
    </row>
    <row r="369" spans="1:5">
      <c r="A369">
        <v>242.72</v>
      </c>
      <c r="B369">
        <v>4</v>
      </c>
      <c r="C369">
        <v>970.88</v>
      </c>
      <c r="D369">
        <f t="shared" si="10"/>
        <v>970.88</v>
      </c>
      <c r="E369" s="36">
        <f t="shared" si="11"/>
        <v>970.88</v>
      </c>
    </row>
    <row r="370" spans="1:5">
      <c r="A370">
        <v>242.72</v>
      </c>
      <c r="B370">
        <v>4</v>
      </c>
      <c r="C370">
        <v>970.88</v>
      </c>
      <c r="D370">
        <f t="shared" si="10"/>
        <v>970.88</v>
      </c>
      <c r="E370" s="36">
        <f t="shared" si="11"/>
        <v>970.88</v>
      </c>
    </row>
    <row r="371" spans="1:5">
      <c r="A371">
        <v>242.72</v>
      </c>
      <c r="B371">
        <v>5</v>
      </c>
      <c r="C371">
        <v>1213.5999999999999</v>
      </c>
      <c r="D371">
        <f t="shared" si="10"/>
        <v>1213.5999999999999</v>
      </c>
      <c r="E371" s="36">
        <f t="shared" si="11"/>
        <v>1213.5999999999995</v>
      </c>
    </row>
    <row r="372" spans="1:5">
      <c r="A372">
        <v>239.36</v>
      </c>
      <c r="B372">
        <v>3</v>
      </c>
      <c r="C372">
        <v>718.08</v>
      </c>
      <c r="D372">
        <f t="shared" si="10"/>
        <v>718.08</v>
      </c>
      <c r="E372" s="36">
        <f t="shared" si="11"/>
        <v>718.08000000000038</v>
      </c>
    </row>
    <row r="373" spans="1:5">
      <c r="A373">
        <v>234.5</v>
      </c>
      <c r="B373">
        <v>3</v>
      </c>
      <c r="C373">
        <v>703.5</v>
      </c>
      <c r="D373">
        <f t="shared" si="10"/>
        <v>703.5</v>
      </c>
      <c r="E373" s="36">
        <f t="shared" si="11"/>
        <v>703.50000000000034</v>
      </c>
    </row>
    <row r="374" spans="1:5">
      <c r="A374">
        <v>231.64</v>
      </c>
      <c r="B374">
        <v>4</v>
      </c>
      <c r="C374">
        <v>926.56</v>
      </c>
      <c r="D374">
        <f t="shared" si="10"/>
        <v>926.56</v>
      </c>
      <c r="E374" s="36">
        <f t="shared" si="11"/>
        <v>926.56</v>
      </c>
    </row>
    <row r="375" spans="1:5">
      <c r="A375">
        <v>231.64</v>
      </c>
      <c r="B375">
        <v>5</v>
      </c>
      <c r="C375">
        <v>1158.1999999999998</v>
      </c>
      <c r="D375">
        <f t="shared" si="10"/>
        <v>1158.1999999999998</v>
      </c>
      <c r="E375" s="36">
        <f t="shared" si="11"/>
        <v>1158.1999999999994</v>
      </c>
    </row>
    <row r="376" spans="1:5">
      <c r="A376">
        <v>231.64</v>
      </c>
      <c r="B376">
        <v>5</v>
      </c>
      <c r="C376">
        <v>1158.1999999999998</v>
      </c>
      <c r="D376">
        <f t="shared" si="10"/>
        <v>1158.1999999999998</v>
      </c>
      <c r="E376" s="36">
        <f t="shared" si="11"/>
        <v>1158.1999999999994</v>
      </c>
    </row>
    <row r="377" spans="1:5">
      <c r="A377">
        <v>231.64</v>
      </c>
      <c r="B377">
        <v>4</v>
      </c>
      <c r="C377">
        <v>926.56</v>
      </c>
      <c r="D377">
        <f t="shared" si="10"/>
        <v>926.56</v>
      </c>
      <c r="E377" s="36">
        <f t="shared" si="11"/>
        <v>926.56</v>
      </c>
    </row>
    <row r="378" spans="1:5">
      <c r="A378">
        <v>231.64</v>
      </c>
      <c r="B378">
        <v>2</v>
      </c>
      <c r="C378">
        <v>463.28</v>
      </c>
      <c r="D378">
        <f t="shared" si="10"/>
        <v>463.28</v>
      </c>
      <c r="E378" s="36">
        <f t="shared" si="11"/>
        <v>463.2800000000006</v>
      </c>
    </row>
    <row r="379" spans="1:5">
      <c r="A379">
        <v>230.93</v>
      </c>
      <c r="B379">
        <v>1</v>
      </c>
      <c r="C379">
        <v>230.93</v>
      </c>
      <c r="D379">
        <f t="shared" si="10"/>
        <v>230.93</v>
      </c>
      <c r="E379" s="36">
        <f t="shared" si="11"/>
        <v>230.93000000000094</v>
      </c>
    </row>
    <row r="380" spans="1:5">
      <c r="A380">
        <v>230.93</v>
      </c>
      <c r="B380">
        <v>1</v>
      </c>
      <c r="C380">
        <v>230.93</v>
      </c>
      <c r="D380">
        <f t="shared" si="10"/>
        <v>230.93</v>
      </c>
      <c r="E380" s="36">
        <f t="shared" si="11"/>
        <v>230.93000000000094</v>
      </c>
    </row>
    <row r="381" spans="1:5">
      <c r="A381">
        <v>230.93</v>
      </c>
      <c r="B381">
        <v>2</v>
      </c>
      <c r="C381">
        <v>461.86</v>
      </c>
      <c r="D381">
        <f t="shared" si="10"/>
        <v>461.86</v>
      </c>
      <c r="E381" s="36">
        <f t="shared" si="11"/>
        <v>461.86000000000064</v>
      </c>
    </row>
    <row r="382" spans="1:5">
      <c r="A382">
        <v>230.93</v>
      </c>
      <c r="B382">
        <v>5</v>
      </c>
      <c r="C382">
        <v>1154.6500000000001</v>
      </c>
      <c r="D382">
        <f t="shared" si="10"/>
        <v>1154.6500000000001</v>
      </c>
      <c r="E382" s="36">
        <f t="shared" si="11"/>
        <v>1154.6499999999996</v>
      </c>
    </row>
    <row r="383" spans="1:5">
      <c r="A383">
        <v>230.93</v>
      </c>
      <c r="B383">
        <v>5</v>
      </c>
      <c r="C383">
        <v>1154.6500000000001</v>
      </c>
      <c r="D383">
        <f t="shared" si="10"/>
        <v>1154.6500000000001</v>
      </c>
      <c r="E383" s="36">
        <f t="shared" si="11"/>
        <v>1154.6499999999996</v>
      </c>
    </row>
    <row r="384" spans="1:5">
      <c r="A384">
        <v>242.72</v>
      </c>
      <c r="B384">
        <v>2</v>
      </c>
      <c r="C384">
        <v>485.44</v>
      </c>
      <c r="D384">
        <f t="shared" si="10"/>
        <v>485.44</v>
      </c>
      <c r="E384" s="36">
        <f t="shared" si="11"/>
        <v>485.44000000000062</v>
      </c>
    </row>
    <row r="385" spans="1:5">
      <c r="A385">
        <v>242.63</v>
      </c>
      <c r="B385">
        <v>5</v>
      </c>
      <c r="C385">
        <v>1213.1500000000001</v>
      </c>
      <c r="D385">
        <f t="shared" si="10"/>
        <v>1213.1500000000001</v>
      </c>
      <c r="E385" s="36">
        <f t="shared" si="11"/>
        <v>1213.1499999999996</v>
      </c>
    </row>
    <row r="386" spans="1:5">
      <c r="A386">
        <v>242.63</v>
      </c>
      <c r="B386">
        <v>2</v>
      </c>
      <c r="C386">
        <v>485.26</v>
      </c>
      <c r="D386">
        <f t="shared" si="10"/>
        <v>485.26</v>
      </c>
      <c r="E386" s="36">
        <f t="shared" si="11"/>
        <v>485.26000000000062</v>
      </c>
    </row>
    <row r="387" spans="1:5">
      <c r="A387">
        <v>242.63</v>
      </c>
      <c r="B387">
        <v>1</v>
      </c>
      <c r="C387">
        <v>242.63</v>
      </c>
      <c r="D387">
        <f t="shared" ref="D387:D450" si="12">A387*B387</f>
        <v>242.63</v>
      </c>
      <c r="E387" s="36">
        <f t="shared" ref="E387:E450" si="13">$G$7 * D387 + $H$7</f>
        <v>242.63000000000093</v>
      </c>
    </row>
    <row r="388" spans="1:5">
      <c r="A388">
        <v>242.63</v>
      </c>
      <c r="B388">
        <v>5</v>
      </c>
      <c r="C388">
        <v>1213.1500000000001</v>
      </c>
      <c r="D388">
        <f t="shared" si="12"/>
        <v>1213.1500000000001</v>
      </c>
      <c r="E388" s="36">
        <f t="shared" si="13"/>
        <v>1213.1499999999996</v>
      </c>
    </row>
    <row r="389" spans="1:5">
      <c r="A389">
        <v>242.63</v>
      </c>
      <c r="B389">
        <v>5</v>
      </c>
      <c r="C389">
        <v>1213.1500000000001</v>
      </c>
      <c r="D389">
        <f t="shared" si="12"/>
        <v>1213.1500000000001</v>
      </c>
      <c r="E389" s="36">
        <f t="shared" si="13"/>
        <v>1213.1499999999996</v>
      </c>
    </row>
    <row r="390" spans="1:5">
      <c r="A390">
        <v>242.63</v>
      </c>
      <c r="B390">
        <v>4</v>
      </c>
      <c r="C390">
        <v>970.52</v>
      </c>
      <c r="D390">
        <f t="shared" si="12"/>
        <v>970.52</v>
      </c>
      <c r="E390" s="36">
        <f t="shared" si="13"/>
        <v>970.52</v>
      </c>
    </row>
    <row r="391" spans="1:5">
      <c r="A391">
        <v>242.63</v>
      </c>
      <c r="B391">
        <v>4</v>
      </c>
      <c r="C391">
        <v>970.52</v>
      </c>
      <c r="D391">
        <f t="shared" si="12"/>
        <v>970.52</v>
      </c>
      <c r="E391" s="36">
        <f t="shared" si="13"/>
        <v>970.52</v>
      </c>
    </row>
    <row r="392" spans="1:5">
      <c r="A392">
        <v>242.63</v>
      </c>
      <c r="B392">
        <v>3</v>
      </c>
      <c r="C392">
        <v>727.89</v>
      </c>
      <c r="D392">
        <f t="shared" si="12"/>
        <v>727.89</v>
      </c>
      <c r="E392" s="36">
        <f t="shared" si="13"/>
        <v>727.89000000000021</v>
      </c>
    </row>
    <row r="393" spans="1:5">
      <c r="A393">
        <v>242.63</v>
      </c>
      <c r="B393">
        <v>3</v>
      </c>
      <c r="C393">
        <v>727.89</v>
      </c>
      <c r="D393">
        <f t="shared" si="12"/>
        <v>727.89</v>
      </c>
      <c r="E393" s="36">
        <f t="shared" si="13"/>
        <v>727.89000000000021</v>
      </c>
    </row>
    <row r="394" spans="1:5">
      <c r="A394">
        <v>228.76</v>
      </c>
      <c r="B394">
        <v>1</v>
      </c>
      <c r="C394">
        <v>228.76</v>
      </c>
      <c r="D394">
        <f t="shared" si="12"/>
        <v>228.76</v>
      </c>
      <c r="E394" s="36">
        <f t="shared" si="13"/>
        <v>228.76000000000093</v>
      </c>
    </row>
    <row r="395" spans="1:5">
      <c r="A395">
        <v>228.47</v>
      </c>
      <c r="B395">
        <v>2</v>
      </c>
      <c r="C395">
        <v>456.94</v>
      </c>
      <c r="D395">
        <f t="shared" si="12"/>
        <v>456.94</v>
      </c>
      <c r="E395" s="36">
        <f t="shared" si="13"/>
        <v>456.94000000000062</v>
      </c>
    </row>
    <row r="396" spans="1:5">
      <c r="A396">
        <v>227.03</v>
      </c>
      <c r="B396">
        <v>5</v>
      </c>
      <c r="C396">
        <v>1135.1500000000001</v>
      </c>
      <c r="D396">
        <f t="shared" si="12"/>
        <v>1135.1500000000001</v>
      </c>
      <c r="E396" s="36">
        <f t="shared" si="13"/>
        <v>1135.1499999999996</v>
      </c>
    </row>
    <row r="397" spans="1:5">
      <c r="A397">
        <v>225.83</v>
      </c>
      <c r="B397">
        <v>1</v>
      </c>
      <c r="C397">
        <v>225.83</v>
      </c>
      <c r="D397">
        <f t="shared" si="12"/>
        <v>225.83</v>
      </c>
      <c r="E397" s="36">
        <f t="shared" si="13"/>
        <v>225.83000000000095</v>
      </c>
    </row>
    <row r="398" spans="1:5">
      <c r="A398">
        <v>224.6</v>
      </c>
      <c r="B398">
        <v>1</v>
      </c>
      <c r="C398">
        <v>224.6</v>
      </c>
      <c r="D398">
        <f t="shared" si="12"/>
        <v>224.6</v>
      </c>
      <c r="E398" s="36">
        <f t="shared" si="13"/>
        <v>224.60000000000093</v>
      </c>
    </row>
    <row r="399" spans="1:5">
      <c r="A399">
        <v>242.63</v>
      </c>
      <c r="B399">
        <v>3</v>
      </c>
      <c r="C399">
        <v>727.89</v>
      </c>
      <c r="D399">
        <f t="shared" si="12"/>
        <v>727.89</v>
      </c>
      <c r="E399" s="36">
        <f t="shared" si="13"/>
        <v>727.89000000000021</v>
      </c>
    </row>
    <row r="400" spans="1:5">
      <c r="A400">
        <v>242.63</v>
      </c>
      <c r="B400">
        <v>4</v>
      </c>
      <c r="C400">
        <v>970.52</v>
      </c>
      <c r="D400">
        <f t="shared" si="12"/>
        <v>970.52</v>
      </c>
      <c r="E400" s="36">
        <f t="shared" si="13"/>
        <v>970.52</v>
      </c>
    </row>
    <row r="401" spans="1:5">
      <c r="A401">
        <v>242.63</v>
      </c>
      <c r="B401">
        <v>2</v>
      </c>
      <c r="C401">
        <v>485.26</v>
      </c>
      <c r="D401">
        <f t="shared" si="12"/>
        <v>485.26</v>
      </c>
      <c r="E401" s="36">
        <f t="shared" si="13"/>
        <v>485.26000000000062</v>
      </c>
    </row>
    <row r="402" spans="1:5">
      <c r="A402">
        <v>242.63</v>
      </c>
      <c r="B402">
        <v>2</v>
      </c>
      <c r="C402">
        <v>485.26</v>
      </c>
      <c r="D402">
        <f t="shared" si="12"/>
        <v>485.26</v>
      </c>
      <c r="E402" s="36">
        <f t="shared" si="13"/>
        <v>485.26000000000062</v>
      </c>
    </row>
    <row r="403" spans="1:5">
      <c r="A403">
        <v>242.63</v>
      </c>
      <c r="B403">
        <v>1</v>
      </c>
      <c r="C403">
        <v>242.63</v>
      </c>
      <c r="D403">
        <f t="shared" si="12"/>
        <v>242.63</v>
      </c>
      <c r="E403" s="36">
        <f t="shared" si="13"/>
        <v>242.63000000000093</v>
      </c>
    </row>
    <row r="404" spans="1:5">
      <c r="A404">
        <v>223.17</v>
      </c>
      <c r="B404">
        <v>2</v>
      </c>
      <c r="C404">
        <v>446.34</v>
      </c>
      <c r="D404">
        <f t="shared" si="12"/>
        <v>446.34</v>
      </c>
      <c r="E404" s="36">
        <f t="shared" si="13"/>
        <v>446.34000000000066</v>
      </c>
    </row>
    <row r="405" spans="1:5">
      <c r="A405">
        <v>218.77</v>
      </c>
      <c r="B405">
        <v>5</v>
      </c>
      <c r="C405">
        <v>1093.8500000000001</v>
      </c>
      <c r="D405">
        <f t="shared" si="12"/>
        <v>1093.8500000000001</v>
      </c>
      <c r="E405" s="36">
        <f t="shared" si="13"/>
        <v>1093.8499999999999</v>
      </c>
    </row>
    <row r="406" spans="1:5">
      <c r="A406">
        <v>218.77</v>
      </c>
      <c r="B406">
        <v>5</v>
      </c>
      <c r="C406">
        <v>1093.8500000000001</v>
      </c>
      <c r="D406">
        <f t="shared" si="12"/>
        <v>1093.8500000000001</v>
      </c>
      <c r="E406" s="36">
        <f t="shared" si="13"/>
        <v>1093.8499999999999</v>
      </c>
    </row>
    <row r="407" spans="1:5">
      <c r="A407">
        <v>218.77</v>
      </c>
      <c r="B407">
        <v>5</v>
      </c>
      <c r="C407">
        <v>1093.8500000000001</v>
      </c>
      <c r="D407">
        <f t="shared" si="12"/>
        <v>1093.8500000000001</v>
      </c>
      <c r="E407" s="36">
        <f t="shared" si="13"/>
        <v>1093.8499999999999</v>
      </c>
    </row>
    <row r="408" spans="1:5">
      <c r="A408">
        <v>218.54</v>
      </c>
      <c r="B408">
        <v>2</v>
      </c>
      <c r="C408">
        <v>437.08</v>
      </c>
      <c r="D408">
        <f t="shared" si="12"/>
        <v>437.08</v>
      </c>
      <c r="E408" s="36">
        <f t="shared" si="13"/>
        <v>437.08000000000067</v>
      </c>
    </row>
    <row r="409" spans="1:5">
      <c r="A409">
        <v>215.19</v>
      </c>
      <c r="B409">
        <v>3</v>
      </c>
      <c r="C409">
        <v>645.56999999999994</v>
      </c>
      <c r="D409">
        <f t="shared" si="12"/>
        <v>645.56999999999994</v>
      </c>
      <c r="E409" s="36">
        <f t="shared" si="13"/>
        <v>645.57000000000028</v>
      </c>
    </row>
    <row r="410" spans="1:5">
      <c r="A410">
        <v>212.33</v>
      </c>
      <c r="B410">
        <v>3</v>
      </c>
      <c r="C410">
        <v>636.99</v>
      </c>
      <c r="D410">
        <f t="shared" si="12"/>
        <v>636.99</v>
      </c>
      <c r="E410" s="36">
        <f t="shared" si="13"/>
        <v>636.99000000000046</v>
      </c>
    </row>
    <row r="411" spans="1:5">
      <c r="A411">
        <v>212.1</v>
      </c>
      <c r="B411">
        <v>5</v>
      </c>
      <c r="C411">
        <v>1060.5</v>
      </c>
      <c r="D411">
        <f t="shared" si="12"/>
        <v>1060.5</v>
      </c>
      <c r="E411" s="36">
        <f t="shared" si="13"/>
        <v>1060.5</v>
      </c>
    </row>
    <row r="412" spans="1:5">
      <c r="A412">
        <v>212.08</v>
      </c>
      <c r="B412">
        <v>2</v>
      </c>
      <c r="C412">
        <v>424.16</v>
      </c>
      <c r="D412">
        <f t="shared" si="12"/>
        <v>424.16</v>
      </c>
      <c r="E412" s="36">
        <f t="shared" si="13"/>
        <v>424.16000000000071</v>
      </c>
    </row>
    <row r="413" spans="1:5">
      <c r="A413">
        <v>212.08</v>
      </c>
      <c r="B413">
        <v>4</v>
      </c>
      <c r="C413">
        <v>848.32</v>
      </c>
      <c r="D413">
        <f t="shared" si="12"/>
        <v>848.32</v>
      </c>
      <c r="E413" s="36">
        <f t="shared" si="13"/>
        <v>848.32000000000016</v>
      </c>
    </row>
    <row r="414" spans="1:5">
      <c r="A414">
        <v>212.08</v>
      </c>
      <c r="B414">
        <v>2</v>
      </c>
      <c r="C414">
        <v>424.16</v>
      </c>
      <c r="D414">
        <f t="shared" si="12"/>
        <v>424.16</v>
      </c>
      <c r="E414" s="36">
        <f t="shared" si="13"/>
        <v>424.16000000000071</v>
      </c>
    </row>
    <row r="415" spans="1:5">
      <c r="A415">
        <v>212.08</v>
      </c>
      <c r="B415">
        <v>3</v>
      </c>
      <c r="C415">
        <v>636.24</v>
      </c>
      <c r="D415">
        <f t="shared" si="12"/>
        <v>636.24</v>
      </c>
      <c r="E415" s="36">
        <f t="shared" si="13"/>
        <v>636.24000000000046</v>
      </c>
    </row>
    <row r="416" spans="1:5">
      <c r="A416">
        <v>212.08</v>
      </c>
      <c r="B416">
        <v>3</v>
      </c>
      <c r="C416">
        <v>636.24</v>
      </c>
      <c r="D416">
        <f t="shared" si="12"/>
        <v>636.24</v>
      </c>
      <c r="E416" s="36">
        <f t="shared" si="13"/>
        <v>636.24000000000046</v>
      </c>
    </row>
    <row r="417" spans="1:5">
      <c r="A417">
        <v>212.08</v>
      </c>
      <c r="B417">
        <v>1</v>
      </c>
      <c r="C417">
        <v>212.08</v>
      </c>
      <c r="D417">
        <f t="shared" si="12"/>
        <v>212.08</v>
      </c>
      <c r="E417" s="36">
        <f t="shared" si="13"/>
        <v>212.08000000000098</v>
      </c>
    </row>
    <row r="418" spans="1:5">
      <c r="A418">
        <v>211.92</v>
      </c>
      <c r="B418">
        <v>4</v>
      </c>
      <c r="C418">
        <v>847.68</v>
      </c>
      <c r="D418">
        <f t="shared" si="12"/>
        <v>847.68</v>
      </c>
      <c r="E418" s="36">
        <f t="shared" si="13"/>
        <v>847.68000000000006</v>
      </c>
    </row>
    <row r="419" spans="1:5">
      <c r="A419">
        <v>211.92</v>
      </c>
      <c r="B419">
        <v>2</v>
      </c>
      <c r="C419">
        <v>423.84</v>
      </c>
      <c r="D419">
        <f t="shared" si="12"/>
        <v>423.84</v>
      </c>
      <c r="E419" s="36">
        <f t="shared" si="13"/>
        <v>423.84000000000066</v>
      </c>
    </row>
    <row r="420" spans="1:5">
      <c r="A420">
        <v>211.92</v>
      </c>
      <c r="B420">
        <v>4</v>
      </c>
      <c r="C420">
        <v>847.68</v>
      </c>
      <c r="D420">
        <f t="shared" si="12"/>
        <v>847.68</v>
      </c>
      <c r="E420" s="36">
        <f t="shared" si="13"/>
        <v>847.68000000000006</v>
      </c>
    </row>
    <row r="421" spans="1:5">
      <c r="A421">
        <v>210.79</v>
      </c>
      <c r="B421">
        <v>1</v>
      </c>
      <c r="C421">
        <v>210.79</v>
      </c>
      <c r="D421">
        <f t="shared" si="12"/>
        <v>210.79</v>
      </c>
      <c r="E421" s="36">
        <f t="shared" si="13"/>
        <v>210.79000000000096</v>
      </c>
    </row>
    <row r="422" spans="1:5">
      <c r="A422">
        <v>209.79</v>
      </c>
      <c r="B422">
        <v>1</v>
      </c>
      <c r="C422">
        <v>209.79</v>
      </c>
      <c r="D422">
        <f t="shared" si="12"/>
        <v>209.79</v>
      </c>
      <c r="E422" s="36">
        <f t="shared" si="13"/>
        <v>209.79000000000096</v>
      </c>
    </row>
    <row r="423" spans="1:5">
      <c r="A423">
        <v>206.96</v>
      </c>
      <c r="B423">
        <v>1</v>
      </c>
      <c r="C423">
        <v>206.96</v>
      </c>
      <c r="D423">
        <f t="shared" si="12"/>
        <v>206.96</v>
      </c>
      <c r="E423" s="36">
        <f t="shared" si="13"/>
        <v>206.96000000000097</v>
      </c>
    </row>
    <row r="424" spans="1:5">
      <c r="A424">
        <v>205.67</v>
      </c>
      <c r="B424">
        <v>1</v>
      </c>
      <c r="C424">
        <v>205.67</v>
      </c>
      <c r="D424">
        <f t="shared" si="12"/>
        <v>205.67</v>
      </c>
      <c r="E424" s="36">
        <f t="shared" si="13"/>
        <v>205.67000000000095</v>
      </c>
    </row>
    <row r="425" spans="1:5">
      <c r="A425">
        <v>205.67</v>
      </c>
      <c r="B425">
        <v>1</v>
      </c>
      <c r="C425">
        <v>205.67</v>
      </c>
      <c r="D425">
        <f t="shared" si="12"/>
        <v>205.67</v>
      </c>
      <c r="E425" s="36">
        <f t="shared" si="13"/>
        <v>205.67000000000095</v>
      </c>
    </row>
    <row r="426" spans="1:5">
      <c r="A426">
        <v>205.67</v>
      </c>
      <c r="B426">
        <v>5</v>
      </c>
      <c r="C426">
        <v>1028.3499999999999</v>
      </c>
      <c r="D426">
        <f t="shared" si="12"/>
        <v>1028.3499999999999</v>
      </c>
      <c r="E426" s="36">
        <f t="shared" si="13"/>
        <v>1028.3499999999999</v>
      </c>
    </row>
    <row r="427" spans="1:5">
      <c r="A427">
        <v>205.67</v>
      </c>
      <c r="B427">
        <v>3</v>
      </c>
      <c r="C427">
        <v>617.01</v>
      </c>
      <c r="D427">
        <f t="shared" si="12"/>
        <v>617.01</v>
      </c>
      <c r="E427" s="36">
        <f t="shared" si="13"/>
        <v>617.01000000000045</v>
      </c>
    </row>
    <row r="428" spans="1:5">
      <c r="A428">
        <v>204.64</v>
      </c>
      <c r="B428">
        <v>4</v>
      </c>
      <c r="C428">
        <v>818.56</v>
      </c>
      <c r="D428">
        <f t="shared" si="12"/>
        <v>818.56</v>
      </c>
      <c r="E428" s="36">
        <f t="shared" si="13"/>
        <v>818.56000000000006</v>
      </c>
    </row>
    <row r="429" spans="1:5">
      <c r="A429">
        <v>203.35</v>
      </c>
      <c r="B429">
        <v>3</v>
      </c>
      <c r="C429">
        <v>610.04999999999995</v>
      </c>
      <c r="D429">
        <f t="shared" si="12"/>
        <v>610.04999999999995</v>
      </c>
      <c r="E429" s="36">
        <f t="shared" si="13"/>
        <v>610.05000000000041</v>
      </c>
    </row>
    <row r="430" spans="1:5">
      <c r="A430">
        <v>203.09</v>
      </c>
      <c r="B430">
        <v>5</v>
      </c>
      <c r="C430">
        <v>1015.45</v>
      </c>
      <c r="D430">
        <f t="shared" si="12"/>
        <v>1015.45</v>
      </c>
      <c r="E430" s="36">
        <f t="shared" si="13"/>
        <v>1015.4499999999999</v>
      </c>
    </row>
    <row r="431" spans="1:5">
      <c r="A431">
        <v>203.09</v>
      </c>
      <c r="B431">
        <v>2</v>
      </c>
      <c r="C431">
        <v>406.18</v>
      </c>
      <c r="D431">
        <f t="shared" si="12"/>
        <v>406.18</v>
      </c>
      <c r="E431" s="36">
        <f t="shared" si="13"/>
        <v>406.18000000000069</v>
      </c>
    </row>
    <row r="432" spans="1:5">
      <c r="A432">
        <v>203.09</v>
      </c>
      <c r="B432">
        <v>2</v>
      </c>
      <c r="C432">
        <v>406.18</v>
      </c>
      <c r="D432">
        <f t="shared" si="12"/>
        <v>406.18</v>
      </c>
      <c r="E432" s="36">
        <f t="shared" si="13"/>
        <v>406.18000000000069</v>
      </c>
    </row>
    <row r="433" spans="1:5">
      <c r="A433">
        <v>203.09</v>
      </c>
      <c r="B433">
        <v>3</v>
      </c>
      <c r="C433">
        <v>609.27</v>
      </c>
      <c r="D433">
        <f t="shared" si="12"/>
        <v>609.27</v>
      </c>
      <c r="E433" s="36">
        <f t="shared" si="13"/>
        <v>609.27000000000044</v>
      </c>
    </row>
    <row r="434" spans="1:5">
      <c r="A434">
        <v>203.09</v>
      </c>
      <c r="B434">
        <v>1</v>
      </c>
      <c r="C434">
        <v>203.09</v>
      </c>
      <c r="D434">
        <f t="shared" si="12"/>
        <v>203.09</v>
      </c>
      <c r="E434" s="36">
        <f t="shared" si="13"/>
        <v>203.09000000000097</v>
      </c>
    </row>
    <row r="435" spans="1:5">
      <c r="A435">
        <v>203.09</v>
      </c>
      <c r="B435">
        <v>1</v>
      </c>
      <c r="C435">
        <v>203.09</v>
      </c>
      <c r="D435">
        <f t="shared" si="12"/>
        <v>203.09</v>
      </c>
      <c r="E435" s="36">
        <f t="shared" si="13"/>
        <v>203.09000000000097</v>
      </c>
    </row>
    <row r="436" spans="1:5">
      <c r="A436">
        <v>203.09</v>
      </c>
      <c r="B436">
        <v>5</v>
      </c>
      <c r="C436">
        <v>1015.45</v>
      </c>
      <c r="D436">
        <f t="shared" si="12"/>
        <v>1015.45</v>
      </c>
      <c r="E436" s="36">
        <f t="shared" si="13"/>
        <v>1015.4499999999999</v>
      </c>
    </row>
    <row r="437" spans="1:5">
      <c r="A437">
        <v>203.09</v>
      </c>
      <c r="B437">
        <v>2</v>
      </c>
      <c r="C437">
        <v>406.18</v>
      </c>
      <c r="D437">
        <f t="shared" si="12"/>
        <v>406.18</v>
      </c>
      <c r="E437" s="36">
        <f t="shared" si="13"/>
        <v>406.18000000000069</v>
      </c>
    </row>
    <row r="438" spans="1:5">
      <c r="A438">
        <v>203.09</v>
      </c>
      <c r="B438">
        <v>3</v>
      </c>
      <c r="C438">
        <v>609.27</v>
      </c>
      <c r="D438">
        <f t="shared" si="12"/>
        <v>609.27</v>
      </c>
      <c r="E438" s="36">
        <f t="shared" si="13"/>
        <v>609.27000000000044</v>
      </c>
    </row>
    <row r="439" spans="1:5">
      <c r="A439">
        <v>203.09</v>
      </c>
      <c r="B439">
        <v>2</v>
      </c>
      <c r="C439">
        <v>406.18</v>
      </c>
      <c r="D439">
        <f t="shared" si="12"/>
        <v>406.18</v>
      </c>
      <c r="E439" s="36">
        <f t="shared" si="13"/>
        <v>406.18000000000069</v>
      </c>
    </row>
    <row r="440" spans="1:5">
      <c r="A440">
        <v>200.66</v>
      </c>
      <c r="B440">
        <v>1</v>
      </c>
      <c r="C440">
        <v>200.66</v>
      </c>
      <c r="D440">
        <f t="shared" si="12"/>
        <v>200.66</v>
      </c>
      <c r="E440" s="36">
        <f t="shared" si="13"/>
        <v>200.66000000000099</v>
      </c>
    </row>
    <row r="441" spans="1:5">
      <c r="A441">
        <v>195.35</v>
      </c>
      <c r="B441">
        <v>5</v>
      </c>
      <c r="C441">
        <v>976.75</v>
      </c>
      <c r="D441">
        <f t="shared" si="12"/>
        <v>976.75</v>
      </c>
      <c r="E441" s="36">
        <f t="shared" si="13"/>
        <v>976.75</v>
      </c>
    </row>
    <row r="442" spans="1:5">
      <c r="A442">
        <v>242.63</v>
      </c>
      <c r="B442">
        <v>4</v>
      </c>
      <c r="C442">
        <v>970.52</v>
      </c>
      <c r="D442">
        <f t="shared" si="12"/>
        <v>970.52</v>
      </c>
      <c r="E442" s="36">
        <f t="shared" si="13"/>
        <v>970.52</v>
      </c>
    </row>
    <row r="443" spans="1:5">
      <c r="A443">
        <v>242.63</v>
      </c>
      <c r="B443">
        <v>5</v>
      </c>
      <c r="C443">
        <v>1213.1500000000001</v>
      </c>
      <c r="D443">
        <f t="shared" si="12"/>
        <v>1213.1500000000001</v>
      </c>
      <c r="E443" s="36">
        <f t="shared" si="13"/>
        <v>1213.1499999999996</v>
      </c>
    </row>
    <row r="444" spans="1:5">
      <c r="A444">
        <v>242.63</v>
      </c>
      <c r="B444">
        <v>2</v>
      </c>
      <c r="C444">
        <v>485.26</v>
      </c>
      <c r="D444">
        <f t="shared" si="12"/>
        <v>485.26</v>
      </c>
      <c r="E444" s="36">
        <f t="shared" si="13"/>
        <v>485.26000000000062</v>
      </c>
    </row>
    <row r="445" spans="1:5">
      <c r="A445">
        <v>242.63</v>
      </c>
      <c r="B445">
        <v>1</v>
      </c>
      <c r="C445">
        <v>242.63</v>
      </c>
      <c r="D445">
        <f t="shared" si="12"/>
        <v>242.63</v>
      </c>
      <c r="E445" s="36">
        <f t="shared" si="13"/>
        <v>242.63000000000093</v>
      </c>
    </row>
    <row r="446" spans="1:5">
      <c r="A446">
        <v>242.63</v>
      </c>
      <c r="B446">
        <v>4</v>
      </c>
      <c r="C446">
        <v>970.52</v>
      </c>
      <c r="D446">
        <f t="shared" si="12"/>
        <v>970.52</v>
      </c>
      <c r="E446" s="36">
        <f t="shared" si="13"/>
        <v>970.52</v>
      </c>
    </row>
    <row r="447" spans="1:5">
      <c r="A447">
        <v>242.63</v>
      </c>
      <c r="B447">
        <v>1</v>
      </c>
      <c r="C447">
        <v>242.63</v>
      </c>
      <c r="D447">
        <f t="shared" si="12"/>
        <v>242.63</v>
      </c>
      <c r="E447" s="36">
        <f t="shared" si="13"/>
        <v>242.63000000000093</v>
      </c>
    </row>
    <row r="448" spans="1:5">
      <c r="A448">
        <v>194.6</v>
      </c>
      <c r="B448">
        <v>4</v>
      </c>
      <c r="C448">
        <v>778.4</v>
      </c>
      <c r="D448">
        <f t="shared" si="12"/>
        <v>778.4</v>
      </c>
      <c r="E448" s="36">
        <f t="shared" si="13"/>
        <v>778.4000000000002</v>
      </c>
    </row>
    <row r="449" spans="1:5">
      <c r="A449">
        <v>242.63</v>
      </c>
      <c r="B449">
        <v>5</v>
      </c>
      <c r="C449">
        <v>1213.1500000000001</v>
      </c>
      <c r="D449">
        <f t="shared" si="12"/>
        <v>1213.1500000000001</v>
      </c>
      <c r="E449" s="36">
        <f t="shared" si="13"/>
        <v>1213.1499999999996</v>
      </c>
    </row>
    <row r="450" spans="1:5">
      <c r="A450">
        <v>193.03</v>
      </c>
      <c r="B450">
        <v>3</v>
      </c>
      <c r="C450">
        <v>579.09</v>
      </c>
      <c r="D450">
        <f t="shared" si="12"/>
        <v>579.09</v>
      </c>
      <c r="E450" s="36">
        <f t="shared" si="13"/>
        <v>579.09000000000049</v>
      </c>
    </row>
    <row r="451" spans="1:5">
      <c r="A451">
        <v>192.8</v>
      </c>
      <c r="B451">
        <v>2</v>
      </c>
      <c r="C451">
        <v>385.6</v>
      </c>
      <c r="D451">
        <f t="shared" ref="D451:D514" si="14">A451*B451</f>
        <v>385.6</v>
      </c>
      <c r="E451" s="36">
        <f t="shared" ref="E451:E514" si="15">$G$7 * D451 + $H$7</f>
        <v>385.60000000000076</v>
      </c>
    </row>
    <row r="452" spans="1:5">
      <c r="A452">
        <v>192.8</v>
      </c>
      <c r="B452">
        <v>3</v>
      </c>
      <c r="C452">
        <v>578.40000000000009</v>
      </c>
      <c r="D452">
        <f t="shared" si="14"/>
        <v>578.40000000000009</v>
      </c>
      <c r="E452" s="36">
        <f t="shared" si="15"/>
        <v>578.40000000000055</v>
      </c>
    </row>
    <row r="453" spans="1:5">
      <c r="A453">
        <v>189.97</v>
      </c>
      <c r="B453">
        <v>3</v>
      </c>
      <c r="C453">
        <v>569.91</v>
      </c>
      <c r="D453">
        <f t="shared" si="14"/>
        <v>569.91</v>
      </c>
      <c r="E453" s="36">
        <f t="shared" si="15"/>
        <v>569.91000000000042</v>
      </c>
    </row>
    <row r="454" spans="1:5">
      <c r="A454">
        <v>189.97</v>
      </c>
      <c r="B454">
        <v>4</v>
      </c>
      <c r="C454">
        <v>759.88</v>
      </c>
      <c r="D454">
        <f t="shared" si="14"/>
        <v>759.88</v>
      </c>
      <c r="E454" s="36">
        <f t="shared" si="15"/>
        <v>759.88000000000022</v>
      </c>
    </row>
    <row r="455" spans="1:5">
      <c r="A455">
        <v>189.97</v>
      </c>
      <c r="B455">
        <v>4</v>
      </c>
      <c r="C455">
        <v>759.88</v>
      </c>
      <c r="D455">
        <f t="shared" si="14"/>
        <v>759.88</v>
      </c>
      <c r="E455" s="36">
        <f t="shared" si="15"/>
        <v>759.88000000000022</v>
      </c>
    </row>
    <row r="456" spans="1:5">
      <c r="A456">
        <v>189.97</v>
      </c>
      <c r="B456">
        <v>3</v>
      </c>
      <c r="C456">
        <v>569.91</v>
      </c>
      <c r="D456">
        <f t="shared" si="14"/>
        <v>569.91</v>
      </c>
      <c r="E456" s="36">
        <f t="shared" si="15"/>
        <v>569.91000000000042</v>
      </c>
    </row>
    <row r="457" spans="1:5">
      <c r="A457">
        <v>189.97</v>
      </c>
      <c r="B457">
        <v>5</v>
      </c>
      <c r="C457">
        <v>949.85</v>
      </c>
      <c r="D457">
        <f t="shared" si="14"/>
        <v>949.85</v>
      </c>
      <c r="E457" s="36">
        <f t="shared" si="15"/>
        <v>949.85</v>
      </c>
    </row>
    <row r="458" spans="1:5">
      <c r="A458">
        <v>189.97</v>
      </c>
      <c r="B458">
        <v>3</v>
      </c>
      <c r="C458">
        <v>569.91</v>
      </c>
      <c r="D458">
        <f t="shared" si="14"/>
        <v>569.91</v>
      </c>
      <c r="E458" s="36">
        <f t="shared" si="15"/>
        <v>569.91000000000042</v>
      </c>
    </row>
    <row r="459" spans="1:5">
      <c r="A459">
        <v>189.97</v>
      </c>
      <c r="B459">
        <v>1</v>
      </c>
      <c r="C459">
        <v>189.97</v>
      </c>
      <c r="D459">
        <f t="shared" si="14"/>
        <v>189.97</v>
      </c>
      <c r="E459" s="36">
        <f t="shared" si="15"/>
        <v>189.97000000000099</v>
      </c>
    </row>
    <row r="460" spans="1:5">
      <c r="A460">
        <v>189.97</v>
      </c>
      <c r="B460">
        <v>2</v>
      </c>
      <c r="C460">
        <v>379.94</v>
      </c>
      <c r="D460">
        <f t="shared" si="14"/>
        <v>379.94</v>
      </c>
      <c r="E460" s="36">
        <f t="shared" si="15"/>
        <v>379.94000000000074</v>
      </c>
    </row>
    <row r="461" spans="1:5">
      <c r="A461">
        <v>189.97</v>
      </c>
      <c r="B461">
        <v>5</v>
      </c>
      <c r="C461">
        <v>949.85</v>
      </c>
      <c r="D461">
        <f t="shared" si="14"/>
        <v>949.85</v>
      </c>
      <c r="E461" s="36">
        <f t="shared" si="15"/>
        <v>949.85</v>
      </c>
    </row>
    <row r="462" spans="1:5">
      <c r="A462">
        <v>189.97</v>
      </c>
      <c r="B462">
        <v>2</v>
      </c>
      <c r="C462">
        <v>379.94</v>
      </c>
      <c r="D462">
        <f t="shared" si="14"/>
        <v>379.94</v>
      </c>
      <c r="E462" s="36">
        <f t="shared" si="15"/>
        <v>379.94000000000074</v>
      </c>
    </row>
    <row r="463" spans="1:5">
      <c r="A463">
        <v>189.97</v>
      </c>
      <c r="B463">
        <v>2</v>
      </c>
      <c r="C463">
        <v>379.94</v>
      </c>
      <c r="D463">
        <f t="shared" si="14"/>
        <v>379.94</v>
      </c>
      <c r="E463" s="36">
        <f t="shared" si="15"/>
        <v>379.94000000000074</v>
      </c>
    </row>
    <row r="464" spans="1:5">
      <c r="A464">
        <v>242.63</v>
      </c>
      <c r="B464">
        <v>3</v>
      </c>
      <c r="C464">
        <v>727.89</v>
      </c>
      <c r="D464">
        <f t="shared" si="14"/>
        <v>727.89</v>
      </c>
      <c r="E464" s="36">
        <f t="shared" si="15"/>
        <v>727.89000000000021</v>
      </c>
    </row>
    <row r="465" spans="1:5">
      <c r="A465">
        <v>242.63</v>
      </c>
      <c r="B465">
        <v>1</v>
      </c>
      <c r="C465">
        <v>242.63</v>
      </c>
      <c r="D465">
        <f t="shared" si="14"/>
        <v>242.63</v>
      </c>
      <c r="E465" s="36">
        <f t="shared" si="15"/>
        <v>242.63000000000093</v>
      </c>
    </row>
    <row r="466" spans="1:5">
      <c r="A466">
        <v>242.63</v>
      </c>
      <c r="B466">
        <v>2</v>
      </c>
      <c r="C466">
        <v>485.26</v>
      </c>
      <c r="D466">
        <f t="shared" si="14"/>
        <v>485.26</v>
      </c>
      <c r="E466" s="36">
        <f t="shared" si="15"/>
        <v>485.26000000000062</v>
      </c>
    </row>
    <row r="467" spans="1:5">
      <c r="A467">
        <v>242.63</v>
      </c>
      <c r="B467">
        <v>3</v>
      </c>
      <c r="C467">
        <v>727.89</v>
      </c>
      <c r="D467">
        <f t="shared" si="14"/>
        <v>727.89</v>
      </c>
      <c r="E467" s="36">
        <f t="shared" si="15"/>
        <v>727.89000000000021</v>
      </c>
    </row>
    <row r="468" spans="1:5">
      <c r="A468">
        <v>242.63</v>
      </c>
      <c r="B468">
        <v>1</v>
      </c>
      <c r="C468">
        <v>242.63</v>
      </c>
      <c r="D468">
        <f t="shared" si="14"/>
        <v>242.63</v>
      </c>
      <c r="E468" s="36">
        <f t="shared" si="15"/>
        <v>242.63000000000093</v>
      </c>
    </row>
    <row r="469" spans="1:5">
      <c r="A469">
        <v>186.11</v>
      </c>
      <c r="B469">
        <v>3</v>
      </c>
      <c r="C469">
        <v>558.33000000000004</v>
      </c>
      <c r="D469">
        <f t="shared" si="14"/>
        <v>558.33000000000004</v>
      </c>
      <c r="E469" s="36">
        <f t="shared" si="15"/>
        <v>558.3300000000005</v>
      </c>
    </row>
    <row r="470" spans="1:5">
      <c r="A470">
        <v>185.85</v>
      </c>
      <c r="B470">
        <v>5</v>
      </c>
      <c r="C470">
        <v>929.25</v>
      </c>
      <c r="D470">
        <f t="shared" si="14"/>
        <v>929.25</v>
      </c>
      <c r="E470" s="36">
        <f t="shared" si="15"/>
        <v>929.25</v>
      </c>
    </row>
    <row r="471" spans="1:5">
      <c r="A471">
        <v>180.16</v>
      </c>
      <c r="B471">
        <v>1</v>
      </c>
      <c r="C471">
        <v>180.16</v>
      </c>
      <c r="D471">
        <f t="shared" si="14"/>
        <v>180.16</v>
      </c>
      <c r="E471" s="36">
        <f t="shared" si="15"/>
        <v>180.16000000000102</v>
      </c>
    </row>
    <row r="472" spans="1:5">
      <c r="A472">
        <v>180.16</v>
      </c>
      <c r="B472">
        <v>4</v>
      </c>
      <c r="C472">
        <v>720.64</v>
      </c>
      <c r="D472">
        <f t="shared" si="14"/>
        <v>720.64</v>
      </c>
      <c r="E472" s="36">
        <f t="shared" si="15"/>
        <v>720.64000000000033</v>
      </c>
    </row>
    <row r="473" spans="1:5">
      <c r="A473">
        <v>180.16</v>
      </c>
      <c r="B473">
        <v>3</v>
      </c>
      <c r="C473">
        <v>540.48</v>
      </c>
      <c r="D473">
        <f t="shared" si="14"/>
        <v>540.48</v>
      </c>
      <c r="E473" s="36">
        <f t="shared" si="15"/>
        <v>540.48000000000059</v>
      </c>
    </row>
    <row r="474" spans="1:5">
      <c r="A474">
        <v>179.41</v>
      </c>
      <c r="B474">
        <v>3</v>
      </c>
      <c r="C474">
        <v>538.23</v>
      </c>
      <c r="D474">
        <f t="shared" si="14"/>
        <v>538.23</v>
      </c>
      <c r="E474" s="36">
        <f t="shared" si="15"/>
        <v>538.23000000000059</v>
      </c>
    </row>
    <row r="475" spans="1:5">
      <c r="A475">
        <v>179.12</v>
      </c>
      <c r="B475">
        <v>5</v>
      </c>
      <c r="C475">
        <v>895.6</v>
      </c>
      <c r="D475">
        <f t="shared" si="14"/>
        <v>895.6</v>
      </c>
      <c r="E475" s="36">
        <f t="shared" si="15"/>
        <v>895.60000000000014</v>
      </c>
    </row>
    <row r="476" spans="1:5">
      <c r="A476">
        <v>178.9</v>
      </c>
      <c r="B476">
        <v>5</v>
      </c>
      <c r="C476">
        <v>894.5</v>
      </c>
      <c r="D476">
        <f t="shared" si="14"/>
        <v>894.5</v>
      </c>
      <c r="E476" s="36">
        <f t="shared" si="15"/>
        <v>894.50000000000011</v>
      </c>
    </row>
    <row r="477" spans="1:5">
      <c r="A477">
        <v>178.87</v>
      </c>
      <c r="B477">
        <v>4</v>
      </c>
      <c r="C477">
        <v>715.48</v>
      </c>
      <c r="D477">
        <f t="shared" si="14"/>
        <v>715.48</v>
      </c>
      <c r="E477" s="36">
        <f t="shared" si="15"/>
        <v>715.48000000000036</v>
      </c>
    </row>
    <row r="478" spans="1:5">
      <c r="A478">
        <v>178.87</v>
      </c>
      <c r="B478">
        <v>1</v>
      </c>
      <c r="C478">
        <v>178.87</v>
      </c>
      <c r="D478">
        <f t="shared" si="14"/>
        <v>178.87</v>
      </c>
      <c r="E478" s="36">
        <f t="shared" si="15"/>
        <v>178.87000000000103</v>
      </c>
    </row>
    <row r="479" spans="1:5">
      <c r="A479">
        <v>178.87</v>
      </c>
      <c r="B479">
        <v>4</v>
      </c>
      <c r="C479">
        <v>715.48</v>
      </c>
      <c r="D479">
        <f t="shared" si="14"/>
        <v>715.48</v>
      </c>
      <c r="E479" s="36">
        <f t="shared" si="15"/>
        <v>715.48000000000036</v>
      </c>
    </row>
    <row r="480" spans="1:5">
      <c r="A480">
        <v>178.87</v>
      </c>
      <c r="B480">
        <v>5</v>
      </c>
      <c r="C480">
        <v>894.35</v>
      </c>
      <c r="D480">
        <f t="shared" si="14"/>
        <v>894.35</v>
      </c>
      <c r="E480" s="36">
        <f t="shared" si="15"/>
        <v>894.35000000000014</v>
      </c>
    </row>
    <row r="481" spans="1:5">
      <c r="A481">
        <v>178.87</v>
      </c>
      <c r="B481">
        <v>4</v>
      </c>
      <c r="C481">
        <v>715.48</v>
      </c>
      <c r="D481">
        <f t="shared" si="14"/>
        <v>715.48</v>
      </c>
      <c r="E481" s="36">
        <f t="shared" si="15"/>
        <v>715.48000000000036</v>
      </c>
    </row>
    <row r="482" spans="1:5">
      <c r="A482">
        <v>177.27</v>
      </c>
      <c r="B482">
        <v>3</v>
      </c>
      <c r="C482">
        <v>531.81000000000006</v>
      </c>
      <c r="D482">
        <f t="shared" si="14"/>
        <v>531.81000000000006</v>
      </c>
      <c r="E482" s="36">
        <f t="shared" si="15"/>
        <v>531.81000000000063</v>
      </c>
    </row>
    <row r="483" spans="1:5">
      <c r="A483">
        <v>177.27</v>
      </c>
      <c r="B483">
        <v>3</v>
      </c>
      <c r="C483">
        <v>531.81000000000006</v>
      </c>
      <c r="D483">
        <f t="shared" si="14"/>
        <v>531.81000000000006</v>
      </c>
      <c r="E483" s="36">
        <f t="shared" si="15"/>
        <v>531.81000000000063</v>
      </c>
    </row>
    <row r="484" spans="1:5">
      <c r="A484">
        <v>177.27</v>
      </c>
      <c r="B484">
        <v>5</v>
      </c>
      <c r="C484">
        <v>886.35</v>
      </c>
      <c r="D484">
        <f t="shared" si="14"/>
        <v>886.35</v>
      </c>
      <c r="E484" s="36">
        <f t="shared" si="15"/>
        <v>886.35000000000014</v>
      </c>
    </row>
    <row r="485" spans="1:5">
      <c r="A485">
        <v>177.27</v>
      </c>
      <c r="B485">
        <v>4</v>
      </c>
      <c r="C485">
        <v>709.08</v>
      </c>
      <c r="D485">
        <f t="shared" si="14"/>
        <v>709.08</v>
      </c>
      <c r="E485" s="36">
        <f t="shared" si="15"/>
        <v>709.08000000000038</v>
      </c>
    </row>
    <row r="486" spans="1:5">
      <c r="A486">
        <v>177.27</v>
      </c>
      <c r="B486">
        <v>4</v>
      </c>
      <c r="C486">
        <v>709.08</v>
      </c>
      <c r="D486">
        <f t="shared" si="14"/>
        <v>709.08</v>
      </c>
      <c r="E486" s="36">
        <f t="shared" si="15"/>
        <v>709.08000000000038</v>
      </c>
    </row>
    <row r="487" spans="1:5">
      <c r="A487">
        <v>176.04</v>
      </c>
      <c r="B487">
        <v>5</v>
      </c>
      <c r="C487">
        <v>880.19999999999993</v>
      </c>
      <c r="D487">
        <f t="shared" si="14"/>
        <v>880.19999999999993</v>
      </c>
      <c r="E487" s="36">
        <f t="shared" si="15"/>
        <v>880.2</v>
      </c>
    </row>
    <row r="488" spans="1:5">
      <c r="A488">
        <v>175.04</v>
      </c>
      <c r="B488">
        <v>3</v>
      </c>
      <c r="C488">
        <v>525.12</v>
      </c>
      <c r="D488">
        <f t="shared" si="14"/>
        <v>525.12</v>
      </c>
      <c r="E488" s="36">
        <f t="shared" si="15"/>
        <v>525.12000000000057</v>
      </c>
    </row>
    <row r="489" spans="1:5">
      <c r="A489">
        <v>175.01</v>
      </c>
      <c r="B489">
        <v>1</v>
      </c>
      <c r="C489">
        <v>175.01</v>
      </c>
      <c r="D489">
        <f t="shared" si="14"/>
        <v>175.01</v>
      </c>
      <c r="E489" s="36">
        <f t="shared" si="15"/>
        <v>175.01000000000101</v>
      </c>
    </row>
    <row r="490" spans="1:5">
      <c r="A490">
        <v>172.46</v>
      </c>
      <c r="B490">
        <v>3</v>
      </c>
      <c r="C490">
        <v>517.38</v>
      </c>
      <c r="D490">
        <f t="shared" si="14"/>
        <v>517.38</v>
      </c>
      <c r="E490" s="36">
        <f t="shared" si="15"/>
        <v>517.38000000000056</v>
      </c>
    </row>
    <row r="491" spans="1:5">
      <c r="A491">
        <v>172.46</v>
      </c>
      <c r="B491">
        <v>5</v>
      </c>
      <c r="C491">
        <v>862.30000000000007</v>
      </c>
      <c r="D491">
        <f t="shared" si="14"/>
        <v>862.30000000000007</v>
      </c>
      <c r="E491" s="36">
        <f t="shared" si="15"/>
        <v>862.30000000000018</v>
      </c>
    </row>
    <row r="492" spans="1:5">
      <c r="A492">
        <v>229.9</v>
      </c>
      <c r="B492">
        <v>5</v>
      </c>
      <c r="C492">
        <v>1149.5</v>
      </c>
      <c r="D492">
        <f t="shared" si="14"/>
        <v>1149.5</v>
      </c>
      <c r="E492" s="36">
        <f t="shared" si="15"/>
        <v>1149.4999999999995</v>
      </c>
    </row>
    <row r="493" spans="1:5">
      <c r="A493">
        <v>229.9</v>
      </c>
      <c r="B493">
        <v>4</v>
      </c>
      <c r="C493">
        <v>919.6</v>
      </c>
      <c r="D493">
        <f t="shared" si="14"/>
        <v>919.6</v>
      </c>
      <c r="E493" s="36">
        <f t="shared" si="15"/>
        <v>919.6</v>
      </c>
    </row>
    <row r="494" spans="1:5">
      <c r="A494">
        <v>229.9</v>
      </c>
      <c r="B494">
        <v>4</v>
      </c>
      <c r="C494">
        <v>919.6</v>
      </c>
      <c r="D494">
        <f t="shared" si="14"/>
        <v>919.6</v>
      </c>
      <c r="E494" s="36">
        <f t="shared" si="15"/>
        <v>919.6</v>
      </c>
    </row>
    <row r="495" spans="1:5">
      <c r="A495">
        <v>229.9</v>
      </c>
      <c r="B495">
        <v>4</v>
      </c>
      <c r="C495">
        <v>919.6</v>
      </c>
      <c r="D495">
        <f t="shared" si="14"/>
        <v>919.6</v>
      </c>
      <c r="E495" s="36">
        <f t="shared" si="15"/>
        <v>919.6</v>
      </c>
    </row>
    <row r="496" spans="1:5">
      <c r="A496">
        <v>229.9</v>
      </c>
      <c r="B496">
        <v>2</v>
      </c>
      <c r="C496">
        <v>459.8</v>
      </c>
      <c r="D496">
        <f t="shared" si="14"/>
        <v>459.8</v>
      </c>
      <c r="E496" s="36">
        <f t="shared" si="15"/>
        <v>459.80000000000064</v>
      </c>
    </row>
    <row r="497" spans="1:5">
      <c r="A497">
        <v>229.9</v>
      </c>
      <c r="B497">
        <v>4</v>
      </c>
      <c r="C497">
        <v>919.6</v>
      </c>
      <c r="D497">
        <f t="shared" si="14"/>
        <v>919.6</v>
      </c>
      <c r="E497" s="36">
        <f t="shared" si="15"/>
        <v>919.6</v>
      </c>
    </row>
    <row r="498" spans="1:5">
      <c r="A498">
        <v>229.9</v>
      </c>
      <c r="B498">
        <v>3</v>
      </c>
      <c r="C498">
        <v>689.7</v>
      </c>
      <c r="D498">
        <f t="shared" si="14"/>
        <v>689.7</v>
      </c>
      <c r="E498" s="36">
        <f t="shared" si="15"/>
        <v>689.70000000000039</v>
      </c>
    </row>
    <row r="499" spans="1:5">
      <c r="A499">
        <v>229.9</v>
      </c>
      <c r="B499">
        <v>3</v>
      </c>
      <c r="C499">
        <v>689.7</v>
      </c>
      <c r="D499">
        <f t="shared" si="14"/>
        <v>689.7</v>
      </c>
      <c r="E499" s="36">
        <f t="shared" si="15"/>
        <v>689.70000000000039</v>
      </c>
    </row>
    <row r="500" spans="1:5">
      <c r="A500">
        <v>229.9</v>
      </c>
      <c r="B500">
        <v>2</v>
      </c>
      <c r="C500">
        <v>459.8</v>
      </c>
      <c r="D500">
        <f t="shared" si="14"/>
        <v>459.8</v>
      </c>
      <c r="E500" s="36">
        <f t="shared" si="15"/>
        <v>459.80000000000064</v>
      </c>
    </row>
    <row r="501" spans="1:5">
      <c r="A501">
        <v>229.9</v>
      </c>
      <c r="B501">
        <v>5</v>
      </c>
      <c r="C501">
        <v>1149.5</v>
      </c>
      <c r="D501">
        <f t="shared" si="14"/>
        <v>1149.5</v>
      </c>
      <c r="E501" s="36">
        <f t="shared" si="15"/>
        <v>1149.4999999999995</v>
      </c>
    </row>
    <row r="502" spans="1:5">
      <c r="A502">
        <v>223.95</v>
      </c>
      <c r="B502">
        <v>4</v>
      </c>
      <c r="C502">
        <v>895.8</v>
      </c>
      <c r="D502">
        <f t="shared" si="14"/>
        <v>895.8</v>
      </c>
      <c r="E502" s="36">
        <f t="shared" si="15"/>
        <v>895.80000000000007</v>
      </c>
    </row>
    <row r="503" spans="1:5">
      <c r="A503">
        <v>223.95</v>
      </c>
      <c r="B503">
        <v>2</v>
      </c>
      <c r="C503">
        <v>447.9</v>
      </c>
      <c r="D503">
        <f t="shared" si="14"/>
        <v>447.9</v>
      </c>
      <c r="E503" s="36">
        <f t="shared" si="15"/>
        <v>447.90000000000066</v>
      </c>
    </row>
    <row r="504" spans="1:5">
      <c r="A504">
        <v>223.95</v>
      </c>
      <c r="B504">
        <v>1</v>
      </c>
      <c r="C504">
        <v>223.95</v>
      </c>
      <c r="D504">
        <f t="shared" si="14"/>
        <v>223.95</v>
      </c>
      <c r="E504" s="36">
        <f t="shared" si="15"/>
        <v>223.95000000000095</v>
      </c>
    </row>
    <row r="505" spans="1:5">
      <c r="A505">
        <v>223.95</v>
      </c>
      <c r="B505">
        <v>4</v>
      </c>
      <c r="C505">
        <v>895.8</v>
      </c>
      <c r="D505">
        <f t="shared" si="14"/>
        <v>895.8</v>
      </c>
      <c r="E505" s="36">
        <f t="shared" si="15"/>
        <v>895.80000000000007</v>
      </c>
    </row>
    <row r="506" spans="1:5">
      <c r="A506">
        <v>223.95</v>
      </c>
      <c r="B506">
        <v>3</v>
      </c>
      <c r="C506">
        <v>671.84999999999991</v>
      </c>
      <c r="D506">
        <f t="shared" si="14"/>
        <v>671.84999999999991</v>
      </c>
      <c r="E506" s="36">
        <f t="shared" si="15"/>
        <v>671.85000000000025</v>
      </c>
    </row>
    <row r="507" spans="1:5">
      <c r="A507">
        <v>195.06</v>
      </c>
      <c r="B507">
        <v>4</v>
      </c>
      <c r="C507">
        <v>780.24</v>
      </c>
      <c r="D507">
        <f t="shared" si="14"/>
        <v>780.24</v>
      </c>
      <c r="E507" s="36">
        <f t="shared" si="15"/>
        <v>780.24000000000024</v>
      </c>
    </row>
    <row r="508" spans="1:5">
      <c r="A508">
        <v>195.06</v>
      </c>
      <c r="B508">
        <v>1</v>
      </c>
      <c r="C508">
        <v>195.06</v>
      </c>
      <c r="D508">
        <f t="shared" si="14"/>
        <v>195.06</v>
      </c>
      <c r="E508" s="36">
        <f t="shared" si="15"/>
        <v>195.060000000001</v>
      </c>
    </row>
    <row r="509" spans="1:5">
      <c r="A509">
        <v>195.06</v>
      </c>
      <c r="B509">
        <v>3</v>
      </c>
      <c r="C509">
        <v>585.18000000000006</v>
      </c>
      <c r="D509">
        <f t="shared" si="14"/>
        <v>585.18000000000006</v>
      </c>
      <c r="E509" s="36">
        <f t="shared" si="15"/>
        <v>585.18000000000052</v>
      </c>
    </row>
    <row r="510" spans="1:5">
      <c r="A510">
        <v>171.17</v>
      </c>
      <c r="B510">
        <v>1</v>
      </c>
      <c r="C510">
        <v>171.17</v>
      </c>
      <c r="D510">
        <f t="shared" si="14"/>
        <v>171.17</v>
      </c>
      <c r="E510" s="36">
        <f t="shared" si="15"/>
        <v>171.17000000000101</v>
      </c>
    </row>
    <row r="511" spans="1:5">
      <c r="A511">
        <v>169.81</v>
      </c>
      <c r="B511">
        <v>2</v>
      </c>
      <c r="C511">
        <v>339.62</v>
      </c>
      <c r="D511">
        <f t="shared" si="14"/>
        <v>339.62</v>
      </c>
      <c r="E511" s="36">
        <f t="shared" si="15"/>
        <v>339.6200000000008</v>
      </c>
    </row>
    <row r="512" spans="1:5">
      <c r="A512">
        <v>169.63</v>
      </c>
      <c r="B512">
        <v>5</v>
      </c>
      <c r="C512">
        <v>848.15</v>
      </c>
      <c r="D512">
        <f t="shared" si="14"/>
        <v>848.15</v>
      </c>
      <c r="E512" s="36">
        <f t="shared" si="15"/>
        <v>848.15000000000009</v>
      </c>
    </row>
    <row r="513" spans="1:5">
      <c r="A513">
        <v>169.63</v>
      </c>
      <c r="B513">
        <v>1</v>
      </c>
      <c r="C513">
        <v>169.63</v>
      </c>
      <c r="D513">
        <f t="shared" si="14"/>
        <v>169.63</v>
      </c>
      <c r="E513" s="36">
        <f t="shared" si="15"/>
        <v>169.63000000000102</v>
      </c>
    </row>
    <row r="514" spans="1:5">
      <c r="A514">
        <v>169.37</v>
      </c>
      <c r="B514">
        <v>3</v>
      </c>
      <c r="C514">
        <v>508.11</v>
      </c>
      <c r="D514">
        <f t="shared" si="14"/>
        <v>508.11</v>
      </c>
      <c r="E514" s="36">
        <f t="shared" si="15"/>
        <v>508.11000000000058</v>
      </c>
    </row>
    <row r="515" spans="1:5">
      <c r="A515">
        <v>168.86</v>
      </c>
      <c r="B515">
        <v>3</v>
      </c>
      <c r="C515">
        <v>506.58000000000004</v>
      </c>
      <c r="D515">
        <f t="shared" ref="D515:D578" si="16">A515*B515</f>
        <v>506.58000000000004</v>
      </c>
      <c r="E515" s="36">
        <f t="shared" ref="E515:E578" si="17">$G$7 * D515 + $H$7</f>
        <v>506.58000000000061</v>
      </c>
    </row>
    <row r="516" spans="1:5">
      <c r="A516">
        <v>167.31</v>
      </c>
      <c r="B516">
        <v>2</v>
      </c>
      <c r="C516">
        <v>334.62</v>
      </c>
      <c r="D516">
        <f t="shared" si="16"/>
        <v>334.62</v>
      </c>
      <c r="E516" s="36">
        <f t="shared" si="17"/>
        <v>334.6200000000008</v>
      </c>
    </row>
    <row r="517" spans="1:5">
      <c r="A517">
        <v>167.29</v>
      </c>
      <c r="B517">
        <v>4</v>
      </c>
      <c r="C517">
        <v>669.16</v>
      </c>
      <c r="D517">
        <f t="shared" si="16"/>
        <v>669.16</v>
      </c>
      <c r="E517" s="36">
        <f t="shared" si="17"/>
        <v>669.16000000000031</v>
      </c>
    </row>
    <row r="518" spans="1:5">
      <c r="A518">
        <v>167.11</v>
      </c>
      <c r="B518">
        <v>4</v>
      </c>
      <c r="C518">
        <v>668.44</v>
      </c>
      <c r="D518">
        <f t="shared" si="16"/>
        <v>668.44</v>
      </c>
      <c r="E518" s="36">
        <f t="shared" si="17"/>
        <v>668.4400000000004</v>
      </c>
    </row>
    <row r="519" spans="1:5">
      <c r="A519">
        <v>167.06</v>
      </c>
      <c r="B519">
        <v>2</v>
      </c>
      <c r="C519">
        <v>334.12</v>
      </c>
      <c r="D519">
        <f t="shared" si="16"/>
        <v>334.12</v>
      </c>
      <c r="E519" s="36">
        <f t="shared" si="17"/>
        <v>334.1200000000008</v>
      </c>
    </row>
    <row r="520" spans="1:5">
      <c r="A520">
        <v>167.06</v>
      </c>
      <c r="B520">
        <v>5</v>
      </c>
      <c r="C520">
        <v>835.3</v>
      </c>
      <c r="D520">
        <f t="shared" si="16"/>
        <v>835.3</v>
      </c>
      <c r="E520" s="36">
        <f t="shared" si="17"/>
        <v>835.30000000000007</v>
      </c>
    </row>
    <row r="521" spans="1:5">
      <c r="A521">
        <v>166.41</v>
      </c>
      <c r="B521">
        <v>5</v>
      </c>
      <c r="C521">
        <v>832.05</v>
      </c>
      <c r="D521">
        <f t="shared" si="16"/>
        <v>832.05</v>
      </c>
      <c r="E521" s="36">
        <f t="shared" si="17"/>
        <v>832.05000000000007</v>
      </c>
    </row>
    <row r="522" spans="1:5">
      <c r="A522">
        <v>164.95</v>
      </c>
      <c r="B522">
        <v>2</v>
      </c>
      <c r="C522">
        <v>329.9</v>
      </c>
      <c r="D522">
        <f t="shared" si="16"/>
        <v>329.9</v>
      </c>
      <c r="E522" s="36">
        <f t="shared" si="17"/>
        <v>329.90000000000077</v>
      </c>
    </row>
    <row r="523" spans="1:5">
      <c r="A523">
        <v>164.95</v>
      </c>
      <c r="B523">
        <v>5</v>
      </c>
      <c r="C523">
        <v>824.75</v>
      </c>
      <c r="D523">
        <f t="shared" si="16"/>
        <v>824.75</v>
      </c>
      <c r="E523" s="36">
        <f t="shared" si="17"/>
        <v>824.75000000000011</v>
      </c>
    </row>
    <row r="524" spans="1:5">
      <c r="A524">
        <v>164.95</v>
      </c>
      <c r="B524">
        <v>3</v>
      </c>
      <c r="C524">
        <v>494.84999999999997</v>
      </c>
      <c r="D524">
        <f t="shared" si="16"/>
        <v>494.84999999999997</v>
      </c>
      <c r="E524" s="36">
        <f t="shared" si="17"/>
        <v>494.85000000000053</v>
      </c>
    </row>
    <row r="525" spans="1:5">
      <c r="A525">
        <v>164.95</v>
      </c>
      <c r="B525">
        <v>2</v>
      </c>
      <c r="C525">
        <v>329.9</v>
      </c>
      <c r="D525">
        <f t="shared" si="16"/>
        <v>329.9</v>
      </c>
      <c r="E525" s="36">
        <f t="shared" si="17"/>
        <v>329.90000000000077</v>
      </c>
    </row>
    <row r="526" spans="1:5">
      <c r="A526">
        <v>164.95</v>
      </c>
      <c r="B526">
        <v>2</v>
      </c>
      <c r="C526">
        <v>329.9</v>
      </c>
      <c r="D526">
        <f t="shared" si="16"/>
        <v>329.9</v>
      </c>
      <c r="E526" s="36">
        <f t="shared" si="17"/>
        <v>329.90000000000077</v>
      </c>
    </row>
    <row r="527" spans="1:5">
      <c r="A527">
        <v>164.71</v>
      </c>
      <c r="B527">
        <v>4</v>
      </c>
      <c r="C527">
        <v>658.84</v>
      </c>
      <c r="D527">
        <f t="shared" si="16"/>
        <v>658.84</v>
      </c>
      <c r="E527" s="36">
        <f t="shared" si="17"/>
        <v>658.84000000000037</v>
      </c>
    </row>
    <row r="528" spans="1:5">
      <c r="A528">
        <v>195.06</v>
      </c>
      <c r="B528">
        <v>2</v>
      </c>
      <c r="C528">
        <v>390.12</v>
      </c>
      <c r="D528">
        <f t="shared" si="16"/>
        <v>390.12</v>
      </c>
      <c r="E528" s="36">
        <f t="shared" si="17"/>
        <v>390.12000000000074</v>
      </c>
    </row>
    <row r="529" spans="1:5">
      <c r="A529">
        <v>195.06</v>
      </c>
      <c r="B529">
        <v>3</v>
      </c>
      <c r="C529">
        <v>585.18000000000006</v>
      </c>
      <c r="D529">
        <f t="shared" si="16"/>
        <v>585.18000000000006</v>
      </c>
      <c r="E529" s="36">
        <f t="shared" si="17"/>
        <v>585.18000000000052</v>
      </c>
    </row>
    <row r="530" spans="1:5">
      <c r="A530">
        <v>195.06</v>
      </c>
      <c r="B530">
        <v>3</v>
      </c>
      <c r="C530">
        <v>585.18000000000006</v>
      </c>
      <c r="D530">
        <f t="shared" si="16"/>
        <v>585.18000000000006</v>
      </c>
      <c r="E530" s="36">
        <f t="shared" si="17"/>
        <v>585.18000000000052</v>
      </c>
    </row>
    <row r="531" spans="1:5">
      <c r="A531">
        <v>193.26</v>
      </c>
      <c r="B531">
        <v>4</v>
      </c>
      <c r="C531">
        <v>773.04</v>
      </c>
      <c r="D531">
        <f t="shared" si="16"/>
        <v>773.04</v>
      </c>
      <c r="E531" s="36">
        <f t="shared" si="17"/>
        <v>773.04000000000019</v>
      </c>
    </row>
    <row r="532" spans="1:5">
      <c r="A532">
        <v>172.23</v>
      </c>
      <c r="B532">
        <v>3</v>
      </c>
      <c r="C532">
        <v>516.68999999999994</v>
      </c>
      <c r="D532">
        <f t="shared" si="16"/>
        <v>516.68999999999994</v>
      </c>
      <c r="E532" s="36">
        <f t="shared" si="17"/>
        <v>516.69000000000051</v>
      </c>
    </row>
    <row r="533" spans="1:5">
      <c r="A533">
        <v>172.23</v>
      </c>
      <c r="B533">
        <v>5</v>
      </c>
      <c r="C533">
        <v>861.15</v>
      </c>
      <c r="D533">
        <f t="shared" si="16"/>
        <v>861.15</v>
      </c>
      <c r="E533" s="36">
        <f t="shared" si="17"/>
        <v>861.15000000000009</v>
      </c>
    </row>
    <row r="534" spans="1:5">
      <c r="A534">
        <v>172.23</v>
      </c>
      <c r="B534">
        <v>4</v>
      </c>
      <c r="C534">
        <v>688.92</v>
      </c>
      <c r="D534">
        <f t="shared" si="16"/>
        <v>688.92</v>
      </c>
      <c r="E534" s="36">
        <f t="shared" si="17"/>
        <v>688.9200000000003</v>
      </c>
    </row>
    <row r="535" spans="1:5">
      <c r="A535">
        <v>172.23</v>
      </c>
      <c r="B535">
        <v>3</v>
      </c>
      <c r="C535">
        <v>516.68999999999994</v>
      </c>
      <c r="D535">
        <f t="shared" si="16"/>
        <v>516.68999999999994</v>
      </c>
      <c r="E535" s="36">
        <f t="shared" si="17"/>
        <v>516.69000000000051</v>
      </c>
    </row>
    <row r="536" spans="1:5">
      <c r="A536">
        <v>172.23</v>
      </c>
      <c r="B536">
        <v>1</v>
      </c>
      <c r="C536">
        <v>172.23</v>
      </c>
      <c r="D536">
        <f t="shared" si="16"/>
        <v>172.23</v>
      </c>
      <c r="E536" s="36">
        <f t="shared" si="17"/>
        <v>172.23000000000101</v>
      </c>
    </row>
    <row r="537" spans="1:5">
      <c r="A537">
        <v>172.23</v>
      </c>
      <c r="B537">
        <v>5</v>
      </c>
      <c r="C537">
        <v>861.15</v>
      </c>
      <c r="D537">
        <f t="shared" si="16"/>
        <v>861.15</v>
      </c>
      <c r="E537" s="36">
        <f t="shared" si="17"/>
        <v>861.15000000000009</v>
      </c>
    </row>
    <row r="538" spans="1:5">
      <c r="A538">
        <v>172.23</v>
      </c>
      <c r="B538">
        <v>2</v>
      </c>
      <c r="C538">
        <v>344.46</v>
      </c>
      <c r="D538">
        <f t="shared" si="16"/>
        <v>344.46</v>
      </c>
      <c r="E538" s="36">
        <f t="shared" si="17"/>
        <v>344.46000000000078</v>
      </c>
    </row>
    <row r="539" spans="1:5">
      <c r="A539">
        <v>172.23</v>
      </c>
      <c r="B539">
        <v>2</v>
      </c>
      <c r="C539">
        <v>344.46</v>
      </c>
      <c r="D539">
        <f t="shared" si="16"/>
        <v>344.46</v>
      </c>
      <c r="E539" s="36">
        <f t="shared" si="17"/>
        <v>344.46000000000078</v>
      </c>
    </row>
    <row r="540" spans="1:5">
      <c r="A540">
        <v>172.23</v>
      </c>
      <c r="B540">
        <v>3</v>
      </c>
      <c r="C540">
        <v>516.68999999999994</v>
      </c>
      <c r="D540">
        <f t="shared" si="16"/>
        <v>516.68999999999994</v>
      </c>
      <c r="E540" s="36">
        <f t="shared" si="17"/>
        <v>516.69000000000051</v>
      </c>
    </row>
    <row r="541" spans="1:5">
      <c r="A541">
        <v>172.23</v>
      </c>
      <c r="B541">
        <v>2</v>
      </c>
      <c r="C541">
        <v>344.46</v>
      </c>
      <c r="D541">
        <f t="shared" si="16"/>
        <v>344.46</v>
      </c>
      <c r="E541" s="36">
        <f t="shared" si="17"/>
        <v>344.46000000000078</v>
      </c>
    </row>
    <row r="542" spans="1:5">
      <c r="A542">
        <v>172.23</v>
      </c>
      <c r="B542">
        <v>2</v>
      </c>
      <c r="C542">
        <v>344.46</v>
      </c>
      <c r="D542">
        <f t="shared" si="16"/>
        <v>344.46</v>
      </c>
      <c r="E542" s="36">
        <f t="shared" si="17"/>
        <v>344.46000000000078</v>
      </c>
    </row>
    <row r="543" spans="1:5">
      <c r="A543">
        <v>172.23</v>
      </c>
      <c r="B543">
        <v>2</v>
      </c>
      <c r="C543">
        <v>344.46</v>
      </c>
      <c r="D543">
        <f t="shared" si="16"/>
        <v>344.46</v>
      </c>
      <c r="E543" s="36">
        <f t="shared" si="17"/>
        <v>344.46000000000078</v>
      </c>
    </row>
    <row r="544" spans="1:5">
      <c r="A544">
        <v>172.23</v>
      </c>
      <c r="B544">
        <v>2</v>
      </c>
      <c r="C544">
        <v>344.46</v>
      </c>
      <c r="D544">
        <f t="shared" si="16"/>
        <v>344.46</v>
      </c>
      <c r="E544" s="36">
        <f t="shared" si="17"/>
        <v>344.46000000000078</v>
      </c>
    </row>
    <row r="545" spans="1:5">
      <c r="A545">
        <v>172.23</v>
      </c>
      <c r="B545">
        <v>4</v>
      </c>
      <c r="C545">
        <v>688.92</v>
      </c>
      <c r="D545">
        <f t="shared" si="16"/>
        <v>688.92</v>
      </c>
      <c r="E545" s="36">
        <f t="shared" si="17"/>
        <v>688.9200000000003</v>
      </c>
    </row>
    <row r="546" spans="1:5">
      <c r="A546">
        <v>172.23</v>
      </c>
      <c r="B546">
        <v>2</v>
      </c>
      <c r="C546">
        <v>344.46</v>
      </c>
      <c r="D546">
        <f t="shared" si="16"/>
        <v>344.46</v>
      </c>
      <c r="E546" s="36">
        <f t="shared" si="17"/>
        <v>344.46000000000078</v>
      </c>
    </row>
    <row r="547" spans="1:5">
      <c r="A547">
        <v>158.05000000000001</v>
      </c>
      <c r="B547">
        <v>3</v>
      </c>
      <c r="C547">
        <v>474.15000000000003</v>
      </c>
      <c r="D547">
        <f t="shared" si="16"/>
        <v>474.15000000000003</v>
      </c>
      <c r="E547" s="36">
        <f t="shared" si="17"/>
        <v>474.15000000000066</v>
      </c>
    </row>
    <row r="548" spans="1:5">
      <c r="A548">
        <v>154.44</v>
      </c>
      <c r="B548">
        <v>1</v>
      </c>
      <c r="C548">
        <v>154.44</v>
      </c>
      <c r="D548">
        <f t="shared" si="16"/>
        <v>154.44</v>
      </c>
      <c r="E548" s="36">
        <f t="shared" si="17"/>
        <v>154.44000000000105</v>
      </c>
    </row>
    <row r="549" spans="1:5">
      <c r="A549">
        <v>154.19</v>
      </c>
      <c r="B549">
        <v>3</v>
      </c>
      <c r="C549">
        <v>462.57</v>
      </c>
      <c r="D549">
        <f t="shared" si="16"/>
        <v>462.57</v>
      </c>
      <c r="E549" s="36">
        <f t="shared" si="17"/>
        <v>462.57000000000062</v>
      </c>
    </row>
    <row r="550" spans="1:5">
      <c r="A550">
        <v>154.19</v>
      </c>
      <c r="B550">
        <v>4</v>
      </c>
      <c r="C550">
        <v>616.76</v>
      </c>
      <c r="D550">
        <f t="shared" si="16"/>
        <v>616.76</v>
      </c>
      <c r="E550" s="36">
        <f t="shared" si="17"/>
        <v>616.76000000000045</v>
      </c>
    </row>
    <row r="551" spans="1:5">
      <c r="A551">
        <v>154.16</v>
      </c>
      <c r="B551">
        <v>2</v>
      </c>
      <c r="C551">
        <v>308.32</v>
      </c>
      <c r="D551">
        <f t="shared" si="16"/>
        <v>308.32</v>
      </c>
      <c r="E551" s="36">
        <f t="shared" si="17"/>
        <v>308.32000000000085</v>
      </c>
    </row>
    <row r="552" spans="1:5">
      <c r="A552">
        <v>172.23</v>
      </c>
      <c r="B552">
        <v>2</v>
      </c>
      <c r="C552">
        <v>344.46</v>
      </c>
      <c r="D552">
        <f t="shared" si="16"/>
        <v>344.46</v>
      </c>
      <c r="E552" s="36">
        <f t="shared" si="17"/>
        <v>344.46000000000078</v>
      </c>
    </row>
    <row r="553" spans="1:5">
      <c r="A553">
        <v>151.1</v>
      </c>
      <c r="B553">
        <v>2</v>
      </c>
      <c r="C553">
        <v>302.2</v>
      </c>
      <c r="D553">
        <f t="shared" si="16"/>
        <v>302.2</v>
      </c>
      <c r="E553" s="36">
        <f t="shared" si="17"/>
        <v>302.20000000000084</v>
      </c>
    </row>
    <row r="554" spans="1:5">
      <c r="A554">
        <v>150.97</v>
      </c>
      <c r="B554">
        <v>3</v>
      </c>
      <c r="C554">
        <v>452.90999999999997</v>
      </c>
      <c r="D554">
        <f t="shared" si="16"/>
        <v>452.90999999999997</v>
      </c>
      <c r="E554" s="36">
        <f t="shared" si="17"/>
        <v>452.91000000000059</v>
      </c>
    </row>
    <row r="555" spans="1:5">
      <c r="A555">
        <v>150.97</v>
      </c>
      <c r="B555">
        <v>2</v>
      </c>
      <c r="C555">
        <v>301.94</v>
      </c>
      <c r="D555">
        <f t="shared" si="16"/>
        <v>301.94</v>
      </c>
      <c r="E555" s="36">
        <f t="shared" si="17"/>
        <v>301.94000000000085</v>
      </c>
    </row>
    <row r="556" spans="1:5">
      <c r="A556">
        <v>150.97</v>
      </c>
      <c r="B556">
        <v>2</v>
      </c>
      <c r="C556">
        <v>301.94</v>
      </c>
      <c r="D556">
        <f t="shared" si="16"/>
        <v>301.94</v>
      </c>
      <c r="E556" s="36">
        <f t="shared" si="17"/>
        <v>301.94000000000085</v>
      </c>
    </row>
    <row r="557" spans="1:5">
      <c r="A557">
        <v>150.94999999999999</v>
      </c>
      <c r="B557">
        <v>2</v>
      </c>
      <c r="C557">
        <v>301.89999999999998</v>
      </c>
      <c r="D557">
        <f t="shared" si="16"/>
        <v>301.89999999999998</v>
      </c>
      <c r="E557" s="36">
        <f t="shared" si="17"/>
        <v>301.90000000000083</v>
      </c>
    </row>
    <row r="558" spans="1:5">
      <c r="A558">
        <v>150.04</v>
      </c>
      <c r="B558">
        <v>4</v>
      </c>
      <c r="C558">
        <v>600.16</v>
      </c>
      <c r="D558">
        <f t="shared" si="16"/>
        <v>600.16</v>
      </c>
      <c r="E558" s="36">
        <f t="shared" si="17"/>
        <v>600.16000000000042</v>
      </c>
    </row>
    <row r="559" spans="1:5">
      <c r="A559">
        <v>146.85</v>
      </c>
      <c r="B559">
        <v>3</v>
      </c>
      <c r="C559">
        <v>440.54999999999995</v>
      </c>
      <c r="D559">
        <f t="shared" si="16"/>
        <v>440.54999999999995</v>
      </c>
      <c r="E559" s="36">
        <f t="shared" si="17"/>
        <v>440.55000000000064</v>
      </c>
    </row>
    <row r="560" spans="1:5">
      <c r="A560">
        <v>145.36000000000001</v>
      </c>
      <c r="B560">
        <v>5</v>
      </c>
      <c r="C560">
        <v>726.80000000000007</v>
      </c>
      <c r="D560">
        <f t="shared" si="16"/>
        <v>726.80000000000007</v>
      </c>
      <c r="E560" s="36">
        <f t="shared" si="17"/>
        <v>726.8000000000003</v>
      </c>
    </row>
    <row r="561" spans="1:5">
      <c r="A561">
        <v>144.12</v>
      </c>
      <c r="B561">
        <v>1</v>
      </c>
      <c r="C561">
        <v>144.12</v>
      </c>
      <c r="D561">
        <f t="shared" si="16"/>
        <v>144.12</v>
      </c>
      <c r="E561" s="36">
        <f t="shared" si="17"/>
        <v>144.12000000000106</v>
      </c>
    </row>
    <row r="562" spans="1:5">
      <c r="A562">
        <v>142.84</v>
      </c>
      <c r="B562">
        <v>4</v>
      </c>
      <c r="C562">
        <v>571.36</v>
      </c>
      <c r="D562">
        <f t="shared" si="16"/>
        <v>571.36</v>
      </c>
      <c r="E562" s="36">
        <f t="shared" si="17"/>
        <v>571.36000000000047</v>
      </c>
    </row>
    <row r="563" spans="1:5">
      <c r="A563">
        <v>141.55000000000001</v>
      </c>
      <c r="B563">
        <v>5</v>
      </c>
      <c r="C563">
        <v>707.75</v>
      </c>
      <c r="D563">
        <f t="shared" si="16"/>
        <v>707.75</v>
      </c>
      <c r="E563" s="36">
        <f t="shared" si="17"/>
        <v>707.75000000000034</v>
      </c>
    </row>
    <row r="564" spans="1:5">
      <c r="A564">
        <v>140.82</v>
      </c>
      <c r="B564">
        <v>5</v>
      </c>
      <c r="C564">
        <v>704.09999999999991</v>
      </c>
      <c r="D564">
        <f t="shared" si="16"/>
        <v>704.09999999999991</v>
      </c>
      <c r="E564" s="36">
        <f t="shared" si="17"/>
        <v>704.10000000000025</v>
      </c>
    </row>
    <row r="565" spans="1:5">
      <c r="A565">
        <v>172.23</v>
      </c>
      <c r="B565">
        <v>1</v>
      </c>
      <c r="C565">
        <v>172.23</v>
      </c>
      <c r="D565">
        <f t="shared" si="16"/>
        <v>172.23</v>
      </c>
      <c r="E565" s="36">
        <f t="shared" si="17"/>
        <v>172.23000000000101</v>
      </c>
    </row>
    <row r="566" spans="1:5">
      <c r="A566">
        <v>172.22</v>
      </c>
      <c r="B566">
        <v>1</v>
      </c>
      <c r="C566">
        <v>172.22</v>
      </c>
      <c r="D566">
        <f t="shared" si="16"/>
        <v>172.22</v>
      </c>
      <c r="E566" s="36">
        <f t="shared" si="17"/>
        <v>172.22000000000102</v>
      </c>
    </row>
    <row r="567" spans="1:5">
      <c r="A567">
        <v>154.16</v>
      </c>
      <c r="B567">
        <v>4</v>
      </c>
      <c r="C567">
        <v>616.64</v>
      </c>
      <c r="D567">
        <f t="shared" si="16"/>
        <v>616.64</v>
      </c>
      <c r="E567" s="36">
        <f t="shared" si="17"/>
        <v>616.64000000000044</v>
      </c>
    </row>
    <row r="568" spans="1:5">
      <c r="A568">
        <v>139.68</v>
      </c>
      <c r="B568">
        <v>1</v>
      </c>
      <c r="C568">
        <v>139.68</v>
      </c>
      <c r="D568">
        <f t="shared" si="16"/>
        <v>139.68</v>
      </c>
      <c r="E568" s="36">
        <f t="shared" si="17"/>
        <v>139.68000000000106</v>
      </c>
    </row>
    <row r="569" spans="1:5">
      <c r="A569">
        <v>139.68</v>
      </c>
      <c r="B569">
        <v>4</v>
      </c>
      <c r="C569">
        <v>558.72</v>
      </c>
      <c r="D569">
        <f t="shared" si="16"/>
        <v>558.72</v>
      </c>
      <c r="E569" s="36">
        <f t="shared" si="17"/>
        <v>558.72000000000048</v>
      </c>
    </row>
    <row r="570" spans="1:5">
      <c r="A570">
        <v>139.68</v>
      </c>
      <c r="B570">
        <v>5</v>
      </c>
      <c r="C570">
        <v>698.40000000000009</v>
      </c>
      <c r="D570">
        <f t="shared" si="16"/>
        <v>698.40000000000009</v>
      </c>
      <c r="E570" s="36">
        <f t="shared" si="17"/>
        <v>698.40000000000043</v>
      </c>
    </row>
    <row r="571" spans="1:5">
      <c r="A571">
        <v>139.68</v>
      </c>
      <c r="B571">
        <v>4</v>
      </c>
      <c r="C571">
        <v>558.72</v>
      </c>
      <c r="D571">
        <f t="shared" si="16"/>
        <v>558.72</v>
      </c>
      <c r="E571" s="36">
        <f t="shared" si="17"/>
        <v>558.72000000000048</v>
      </c>
    </row>
    <row r="572" spans="1:5">
      <c r="A572">
        <v>139.68</v>
      </c>
      <c r="B572">
        <v>2</v>
      </c>
      <c r="C572">
        <v>279.36</v>
      </c>
      <c r="D572">
        <f t="shared" si="16"/>
        <v>279.36</v>
      </c>
      <c r="E572" s="36">
        <f t="shared" si="17"/>
        <v>279.36000000000087</v>
      </c>
    </row>
    <row r="573" spans="1:5">
      <c r="A573">
        <v>139.68</v>
      </c>
      <c r="B573">
        <v>3</v>
      </c>
      <c r="C573">
        <v>419.04</v>
      </c>
      <c r="D573">
        <f t="shared" si="16"/>
        <v>419.04</v>
      </c>
      <c r="E573" s="36">
        <f t="shared" si="17"/>
        <v>419.0400000000007</v>
      </c>
    </row>
    <row r="574" spans="1:5">
      <c r="A574">
        <v>139.68</v>
      </c>
      <c r="B574">
        <v>4</v>
      </c>
      <c r="C574">
        <v>558.72</v>
      </c>
      <c r="D574">
        <f t="shared" si="16"/>
        <v>558.72</v>
      </c>
      <c r="E574" s="36">
        <f t="shared" si="17"/>
        <v>558.72000000000048</v>
      </c>
    </row>
    <row r="575" spans="1:5">
      <c r="A575">
        <v>139.68</v>
      </c>
      <c r="B575">
        <v>4</v>
      </c>
      <c r="C575">
        <v>558.72</v>
      </c>
      <c r="D575">
        <f t="shared" si="16"/>
        <v>558.72</v>
      </c>
      <c r="E575" s="36">
        <f t="shared" si="17"/>
        <v>558.72000000000048</v>
      </c>
    </row>
    <row r="576" spans="1:5">
      <c r="A576">
        <v>139.68</v>
      </c>
      <c r="B576">
        <v>3</v>
      </c>
      <c r="C576">
        <v>419.04</v>
      </c>
      <c r="D576">
        <f t="shared" si="16"/>
        <v>419.04</v>
      </c>
      <c r="E576" s="36">
        <f t="shared" si="17"/>
        <v>419.0400000000007</v>
      </c>
    </row>
    <row r="577" spans="1:5">
      <c r="A577">
        <v>139.68</v>
      </c>
      <c r="B577">
        <v>3</v>
      </c>
      <c r="C577">
        <v>419.04</v>
      </c>
      <c r="D577">
        <f t="shared" si="16"/>
        <v>419.04</v>
      </c>
      <c r="E577" s="36">
        <f t="shared" si="17"/>
        <v>419.0400000000007</v>
      </c>
    </row>
    <row r="578" spans="1:5">
      <c r="A578">
        <v>139.63999999999999</v>
      </c>
      <c r="B578">
        <v>1</v>
      </c>
      <c r="C578">
        <v>139.63999999999999</v>
      </c>
      <c r="D578">
        <f t="shared" si="16"/>
        <v>139.63999999999999</v>
      </c>
      <c r="E578" s="36">
        <f t="shared" si="17"/>
        <v>139.64000000000104</v>
      </c>
    </row>
    <row r="579" spans="1:5">
      <c r="A579">
        <v>139.63999999999999</v>
      </c>
      <c r="B579">
        <v>1</v>
      </c>
      <c r="C579">
        <v>139.63999999999999</v>
      </c>
      <c r="D579">
        <f t="shared" ref="D579:D642" si="18">A579*B579</f>
        <v>139.63999999999999</v>
      </c>
      <c r="E579" s="36">
        <f t="shared" ref="E579:E642" si="19">$G$7 * D579 + $H$7</f>
        <v>139.64000000000104</v>
      </c>
    </row>
    <row r="580" spans="1:5">
      <c r="A580">
        <v>138.71</v>
      </c>
      <c r="B580">
        <v>1</v>
      </c>
      <c r="C580">
        <v>138.71</v>
      </c>
      <c r="D580">
        <f t="shared" si="18"/>
        <v>138.71</v>
      </c>
      <c r="E580" s="36">
        <f t="shared" si="19"/>
        <v>138.71000000000106</v>
      </c>
    </row>
    <row r="581" spans="1:5">
      <c r="A581">
        <v>138.71</v>
      </c>
      <c r="B581">
        <v>5</v>
      </c>
      <c r="C581">
        <v>693.55000000000007</v>
      </c>
      <c r="D581">
        <f t="shared" si="18"/>
        <v>693.55000000000007</v>
      </c>
      <c r="E581" s="36">
        <f t="shared" si="19"/>
        <v>693.55000000000041</v>
      </c>
    </row>
    <row r="582" spans="1:5">
      <c r="A582">
        <v>137.18</v>
      </c>
      <c r="B582">
        <v>4</v>
      </c>
      <c r="C582">
        <v>548.72</v>
      </c>
      <c r="D582">
        <f t="shared" si="18"/>
        <v>548.72</v>
      </c>
      <c r="E582" s="36">
        <f t="shared" si="19"/>
        <v>548.7200000000006</v>
      </c>
    </row>
    <row r="583" spans="1:5">
      <c r="A583">
        <v>136.16999999999999</v>
      </c>
      <c r="B583">
        <v>3</v>
      </c>
      <c r="C583">
        <v>408.51</v>
      </c>
      <c r="D583">
        <f t="shared" si="18"/>
        <v>408.51</v>
      </c>
      <c r="E583" s="36">
        <f t="shared" si="19"/>
        <v>408.51000000000067</v>
      </c>
    </row>
    <row r="584" spans="1:5">
      <c r="A584">
        <v>135.01</v>
      </c>
      <c r="B584">
        <v>2</v>
      </c>
      <c r="C584">
        <v>270.02</v>
      </c>
      <c r="D584">
        <f t="shared" si="18"/>
        <v>270.02</v>
      </c>
      <c r="E584" s="36">
        <f t="shared" si="19"/>
        <v>270.02000000000089</v>
      </c>
    </row>
    <row r="585" spans="1:5">
      <c r="A585">
        <v>135.01</v>
      </c>
      <c r="B585">
        <v>1</v>
      </c>
      <c r="C585">
        <v>135.01</v>
      </c>
      <c r="D585">
        <f t="shared" si="18"/>
        <v>135.01</v>
      </c>
      <c r="E585" s="36">
        <f t="shared" si="19"/>
        <v>135.01000000000107</v>
      </c>
    </row>
    <row r="586" spans="1:5">
      <c r="A586">
        <v>133.83000000000001</v>
      </c>
      <c r="B586">
        <v>3</v>
      </c>
      <c r="C586">
        <v>401.49</v>
      </c>
      <c r="D586">
        <f t="shared" si="18"/>
        <v>401.49</v>
      </c>
      <c r="E586" s="36">
        <f t="shared" si="19"/>
        <v>401.49000000000075</v>
      </c>
    </row>
    <row r="587" spans="1:5">
      <c r="A587">
        <v>139.63999999999999</v>
      </c>
      <c r="B587">
        <v>2</v>
      </c>
      <c r="C587">
        <v>279.27999999999997</v>
      </c>
      <c r="D587">
        <f t="shared" si="18"/>
        <v>279.27999999999997</v>
      </c>
      <c r="E587" s="36">
        <f t="shared" si="19"/>
        <v>279.28000000000083</v>
      </c>
    </row>
    <row r="588" spans="1:5">
      <c r="A588">
        <v>139.63999999999999</v>
      </c>
      <c r="B588">
        <v>4</v>
      </c>
      <c r="C588">
        <v>558.55999999999995</v>
      </c>
      <c r="D588">
        <f t="shared" si="18"/>
        <v>558.55999999999995</v>
      </c>
      <c r="E588" s="36">
        <f t="shared" si="19"/>
        <v>558.5600000000004</v>
      </c>
    </row>
    <row r="589" spans="1:5">
      <c r="A589">
        <v>139.63999999999999</v>
      </c>
      <c r="B589">
        <v>4</v>
      </c>
      <c r="C589">
        <v>558.55999999999995</v>
      </c>
      <c r="D589">
        <f t="shared" si="18"/>
        <v>558.55999999999995</v>
      </c>
      <c r="E589" s="36">
        <f t="shared" si="19"/>
        <v>558.5600000000004</v>
      </c>
    </row>
    <row r="590" spans="1:5">
      <c r="A590">
        <v>128.68</v>
      </c>
      <c r="B590">
        <v>4</v>
      </c>
      <c r="C590">
        <v>514.72</v>
      </c>
      <c r="D590">
        <f t="shared" si="18"/>
        <v>514.72</v>
      </c>
      <c r="E590" s="36">
        <f t="shared" si="19"/>
        <v>514.7200000000006</v>
      </c>
    </row>
    <row r="591" spans="1:5">
      <c r="A591">
        <v>128.68</v>
      </c>
      <c r="B591">
        <v>4</v>
      </c>
      <c r="C591">
        <v>514.72</v>
      </c>
      <c r="D591">
        <f t="shared" si="18"/>
        <v>514.72</v>
      </c>
      <c r="E591" s="36">
        <f t="shared" si="19"/>
        <v>514.7200000000006</v>
      </c>
    </row>
    <row r="592" spans="1:5">
      <c r="A592">
        <v>131.53</v>
      </c>
      <c r="B592">
        <v>5</v>
      </c>
      <c r="C592">
        <v>657.65</v>
      </c>
      <c r="D592">
        <f t="shared" si="18"/>
        <v>657.65</v>
      </c>
      <c r="E592" s="36">
        <f t="shared" si="19"/>
        <v>657.65000000000032</v>
      </c>
    </row>
    <row r="593" spans="1:5">
      <c r="A593">
        <v>131.53</v>
      </c>
      <c r="B593">
        <v>5</v>
      </c>
      <c r="C593">
        <v>657.65</v>
      </c>
      <c r="D593">
        <f t="shared" si="18"/>
        <v>657.65</v>
      </c>
      <c r="E593" s="36">
        <f t="shared" si="19"/>
        <v>657.65000000000032</v>
      </c>
    </row>
    <row r="594" spans="1:5">
      <c r="A594">
        <v>131.53</v>
      </c>
      <c r="B594">
        <v>5</v>
      </c>
      <c r="C594">
        <v>657.65</v>
      </c>
      <c r="D594">
        <f t="shared" si="18"/>
        <v>657.65</v>
      </c>
      <c r="E594" s="36">
        <f t="shared" si="19"/>
        <v>657.65000000000032</v>
      </c>
    </row>
    <row r="595" spans="1:5">
      <c r="A595">
        <v>128.41999999999999</v>
      </c>
      <c r="B595">
        <v>2</v>
      </c>
      <c r="C595">
        <v>256.83999999999997</v>
      </c>
      <c r="D595">
        <f t="shared" si="18"/>
        <v>256.83999999999997</v>
      </c>
      <c r="E595" s="36">
        <f t="shared" si="19"/>
        <v>256.84000000000088</v>
      </c>
    </row>
    <row r="596" spans="1:5">
      <c r="A596">
        <v>128.41999999999999</v>
      </c>
      <c r="B596">
        <v>2</v>
      </c>
      <c r="C596">
        <v>256.83999999999997</v>
      </c>
      <c r="D596">
        <f t="shared" si="18"/>
        <v>256.83999999999997</v>
      </c>
      <c r="E596" s="36">
        <f t="shared" si="19"/>
        <v>256.84000000000088</v>
      </c>
    </row>
    <row r="597" spans="1:5">
      <c r="A597">
        <v>128.41999999999999</v>
      </c>
      <c r="B597">
        <v>2</v>
      </c>
      <c r="C597">
        <v>256.83999999999997</v>
      </c>
      <c r="D597">
        <f t="shared" si="18"/>
        <v>256.83999999999997</v>
      </c>
      <c r="E597" s="36">
        <f t="shared" si="19"/>
        <v>256.84000000000088</v>
      </c>
    </row>
    <row r="598" spans="1:5">
      <c r="A598">
        <v>128.41999999999999</v>
      </c>
      <c r="B598">
        <v>4</v>
      </c>
      <c r="C598">
        <v>513.67999999999995</v>
      </c>
      <c r="D598">
        <f t="shared" si="18"/>
        <v>513.67999999999995</v>
      </c>
      <c r="E598" s="36">
        <f t="shared" si="19"/>
        <v>513.68000000000052</v>
      </c>
    </row>
    <row r="599" spans="1:5">
      <c r="A599">
        <v>128.41999999999999</v>
      </c>
      <c r="B599">
        <v>4</v>
      </c>
      <c r="C599">
        <v>513.67999999999995</v>
      </c>
      <c r="D599">
        <f t="shared" si="18"/>
        <v>513.67999999999995</v>
      </c>
      <c r="E599" s="36">
        <f t="shared" si="19"/>
        <v>513.68000000000052</v>
      </c>
    </row>
    <row r="600" spans="1:5">
      <c r="A600">
        <v>128.41999999999999</v>
      </c>
      <c r="B600">
        <v>4</v>
      </c>
      <c r="C600">
        <v>513.67999999999995</v>
      </c>
      <c r="D600">
        <f t="shared" si="18"/>
        <v>513.67999999999995</v>
      </c>
      <c r="E600" s="36">
        <f t="shared" si="19"/>
        <v>513.68000000000052</v>
      </c>
    </row>
    <row r="601" spans="1:5">
      <c r="A601">
        <v>128.41999999999999</v>
      </c>
      <c r="B601">
        <v>2</v>
      </c>
      <c r="C601">
        <v>256.83999999999997</v>
      </c>
      <c r="D601">
        <f t="shared" si="18"/>
        <v>256.83999999999997</v>
      </c>
      <c r="E601" s="36">
        <f t="shared" si="19"/>
        <v>256.84000000000088</v>
      </c>
    </row>
    <row r="602" spans="1:5">
      <c r="A602">
        <v>128.41999999999999</v>
      </c>
      <c r="B602">
        <v>3</v>
      </c>
      <c r="C602">
        <v>385.26</v>
      </c>
      <c r="D602">
        <f t="shared" si="18"/>
        <v>385.26</v>
      </c>
      <c r="E602" s="36">
        <f t="shared" si="19"/>
        <v>385.26000000000073</v>
      </c>
    </row>
    <row r="603" spans="1:5">
      <c r="A603">
        <v>128.41999999999999</v>
      </c>
      <c r="B603">
        <v>2</v>
      </c>
      <c r="C603">
        <v>256.83999999999997</v>
      </c>
      <c r="D603">
        <f t="shared" si="18"/>
        <v>256.83999999999997</v>
      </c>
      <c r="E603" s="36">
        <f t="shared" si="19"/>
        <v>256.84000000000088</v>
      </c>
    </row>
    <row r="604" spans="1:5">
      <c r="A604">
        <v>128.41999999999999</v>
      </c>
      <c r="B604">
        <v>3</v>
      </c>
      <c r="C604">
        <v>385.26</v>
      </c>
      <c r="D604">
        <f t="shared" si="18"/>
        <v>385.26</v>
      </c>
      <c r="E604" s="36">
        <f t="shared" si="19"/>
        <v>385.26000000000073</v>
      </c>
    </row>
    <row r="605" spans="1:5">
      <c r="A605">
        <v>128.41999999999999</v>
      </c>
      <c r="B605">
        <v>2</v>
      </c>
      <c r="C605">
        <v>256.83999999999997</v>
      </c>
      <c r="D605">
        <f t="shared" si="18"/>
        <v>256.83999999999997</v>
      </c>
      <c r="E605" s="36">
        <f t="shared" si="19"/>
        <v>256.84000000000088</v>
      </c>
    </row>
    <row r="606" spans="1:5">
      <c r="A606">
        <v>128.41999999999999</v>
      </c>
      <c r="B606">
        <v>5</v>
      </c>
      <c r="C606">
        <v>642.09999999999991</v>
      </c>
      <c r="D606">
        <f t="shared" si="18"/>
        <v>642.09999999999991</v>
      </c>
      <c r="E606" s="36">
        <f t="shared" si="19"/>
        <v>642.10000000000025</v>
      </c>
    </row>
    <row r="607" spans="1:5">
      <c r="A607">
        <v>128.41999999999999</v>
      </c>
      <c r="B607">
        <v>1</v>
      </c>
      <c r="C607">
        <v>128.41999999999999</v>
      </c>
      <c r="D607">
        <f t="shared" si="18"/>
        <v>128.41999999999999</v>
      </c>
      <c r="E607" s="36">
        <f t="shared" si="19"/>
        <v>128.42000000000107</v>
      </c>
    </row>
    <row r="608" spans="1:5">
      <c r="A608">
        <v>128.41999999999999</v>
      </c>
      <c r="B608">
        <v>1</v>
      </c>
      <c r="C608">
        <v>128.41999999999999</v>
      </c>
      <c r="D608">
        <f t="shared" si="18"/>
        <v>128.41999999999999</v>
      </c>
      <c r="E608" s="36">
        <f t="shared" si="19"/>
        <v>128.42000000000107</v>
      </c>
    </row>
    <row r="609" spans="1:5">
      <c r="A609">
        <v>128.41999999999999</v>
      </c>
      <c r="B609">
        <v>1</v>
      </c>
      <c r="C609">
        <v>128.41999999999999</v>
      </c>
      <c r="D609">
        <f t="shared" si="18"/>
        <v>128.41999999999999</v>
      </c>
      <c r="E609" s="36">
        <f t="shared" si="19"/>
        <v>128.42000000000107</v>
      </c>
    </row>
    <row r="610" spans="1:5">
      <c r="A610">
        <v>128.41999999999999</v>
      </c>
      <c r="B610">
        <v>4</v>
      </c>
      <c r="C610">
        <v>513.67999999999995</v>
      </c>
      <c r="D610">
        <f t="shared" si="18"/>
        <v>513.67999999999995</v>
      </c>
      <c r="E610" s="36">
        <f t="shared" si="19"/>
        <v>513.68000000000052</v>
      </c>
    </row>
    <row r="611" spans="1:5">
      <c r="A611">
        <v>128.41999999999999</v>
      </c>
      <c r="B611">
        <v>3</v>
      </c>
      <c r="C611">
        <v>385.26</v>
      </c>
      <c r="D611">
        <f t="shared" si="18"/>
        <v>385.26</v>
      </c>
      <c r="E611" s="36">
        <f t="shared" si="19"/>
        <v>385.26000000000073</v>
      </c>
    </row>
    <row r="612" spans="1:5">
      <c r="A612">
        <v>128.41999999999999</v>
      </c>
      <c r="B612">
        <v>5</v>
      </c>
      <c r="C612">
        <v>642.09999999999991</v>
      </c>
      <c r="D612">
        <f t="shared" si="18"/>
        <v>642.09999999999991</v>
      </c>
      <c r="E612" s="36">
        <f t="shared" si="19"/>
        <v>642.10000000000025</v>
      </c>
    </row>
    <row r="613" spans="1:5">
      <c r="A613">
        <v>128.41999999999999</v>
      </c>
      <c r="B613">
        <v>3</v>
      </c>
      <c r="C613">
        <v>385.26</v>
      </c>
      <c r="D613">
        <f t="shared" si="18"/>
        <v>385.26</v>
      </c>
      <c r="E613" s="36">
        <f t="shared" si="19"/>
        <v>385.26000000000073</v>
      </c>
    </row>
    <row r="614" spans="1:5">
      <c r="A614">
        <v>128.41999999999999</v>
      </c>
      <c r="B614">
        <v>5</v>
      </c>
      <c r="C614">
        <v>642.09999999999991</v>
      </c>
      <c r="D614">
        <f t="shared" si="18"/>
        <v>642.09999999999991</v>
      </c>
      <c r="E614" s="36">
        <f t="shared" si="19"/>
        <v>642.10000000000025</v>
      </c>
    </row>
    <row r="615" spans="1:5">
      <c r="A615">
        <v>128.41999999999999</v>
      </c>
      <c r="B615">
        <v>1</v>
      </c>
      <c r="C615">
        <v>128.41999999999999</v>
      </c>
      <c r="D615">
        <f t="shared" si="18"/>
        <v>128.41999999999999</v>
      </c>
      <c r="E615" s="36">
        <f t="shared" si="19"/>
        <v>128.42000000000107</v>
      </c>
    </row>
    <row r="616" spans="1:5">
      <c r="A616">
        <v>128.41999999999999</v>
      </c>
      <c r="B616">
        <v>5</v>
      </c>
      <c r="C616">
        <v>642.09999999999991</v>
      </c>
      <c r="D616">
        <f t="shared" si="18"/>
        <v>642.09999999999991</v>
      </c>
      <c r="E616" s="36">
        <f t="shared" si="19"/>
        <v>642.10000000000025</v>
      </c>
    </row>
    <row r="617" spans="1:5">
      <c r="A617">
        <v>128.41999999999999</v>
      </c>
      <c r="B617">
        <v>2</v>
      </c>
      <c r="C617">
        <v>256.83999999999997</v>
      </c>
      <c r="D617">
        <f t="shared" si="18"/>
        <v>256.83999999999997</v>
      </c>
      <c r="E617" s="36">
        <f t="shared" si="19"/>
        <v>256.84000000000088</v>
      </c>
    </row>
    <row r="618" spans="1:5">
      <c r="A618">
        <v>128.41999999999999</v>
      </c>
      <c r="B618">
        <v>1</v>
      </c>
      <c r="C618">
        <v>128.41999999999999</v>
      </c>
      <c r="D618">
        <f t="shared" si="18"/>
        <v>128.41999999999999</v>
      </c>
      <c r="E618" s="36">
        <f t="shared" si="19"/>
        <v>128.42000000000107</v>
      </c>
    </row>
    <row r="619" spans="1:5">
      <c r="A619">
        <v>128.41999999999999</v>
      </c>
      <c r="B619">
        <v>2</v>
      </c>
      <c r="C619">
        <v>256.83999999999997</v>
      </c>
      <c r="D619">
        <f t="shared" si="18"/>
        <v>256.83999999999997</v>
      </c>
      <c r="E619" s="36">
        <f t="shared" si="19"/>
        <v>256.84000000000088</v>
      </c>
    </row>
    <row r="620" spans="1:5">
      <c r="A620">
        <v>128.41999999999999</v>
      </c>
      <c r="B620">
        <v>1</v>
      </c>
      <c r="C620">
        <v>128.41999999999999</v>
      </c>
      <c r="D620">
        <f t="shared" si="18"/>
        <v>128.41999999999999</v>
      </c>
      <c r="E620" s="36">
        <f t="shared" si="19"/>
        <v>128.42000000000107</v>
      </c>
    </row>
    <row r="621" spans="1:5">
      <c r="A621">
        <v>128.41999999999999</v>
      </c>
      <c r="B621">
        <v>4</v>
      </c>
      <c r="C621">
        <v>513.67999999999995</v>
      </c>
      <c r="D621">
        <f t="shared" si="18"/>
        <v>513.67999999999995</v>
      </c>
      <c r="E621" s="36">
        <f t="shared" si="19"/>
        <v>513.68000000000052</v>
      </c>
    </row>
    <row r="622" spans="1:5">
      <c r="A622">
        <v>128.41999999999999</v>
      </c>
      <c r="B622">
        <v>5</v>
      </c>
      <c r="C622">
        <v>642.09999999999991</v>
      </c>
      <c r="D622">
        <f t="shared" si="18"/>
        <v>642.09999999999991</v>
      </c>
      <c r="E622" s="36">
        <f t="shared" si="19"/>
        <v>642.10000000000025</v>
      </c>
    </row>
    <row r="623" spans="1:5">
      <c r="A623">
        <v>128.41999999999999</v>
      </c>
      <c r="B623">
        <v>4</v>
      </c>
      <c r="C623">
        <v>513.67999999999995</v>
      </c>
      <c r="D623">
        <f t="shared" si="18"/>
        <v>513.67999999999995</v>
      </c>
      <c r="E623" s="36">
        <f t="shared" si="19"/>
        <v>513.68000000000052</v>
      </c>
    </row>
    <row r="624" spans="1:5">
      <c r="A624">
        <v>128.41999999999999</v>
      </c>
      <c r="B624">
        <v>3</v>
      </c>
      <c r="C624">
        <v>385.26</v>
      </c>
      <c r="D624">
        <f t="shared" si="18"/>
        <v>385.26</v>
      </c>
      <c r="E624" s="36">
        <f t="shared" si="19"/>
        <v>385.26000000000073</v>
      </c>
    </row>
    <row r="625" spans="1:5">
      <c r="A625">
        <v>128.41999999999999</v>
      </c>
      <c r="B625">
        <v>3</v>
      </c>
      <c r="C625">
        <v>385.26</v>
      </c>
      <c r="D625">
        <f t="shared" si="18"/>
        <v>385.26</v>
      </c>
      <c r="E625" s="36">
        <f t="shared" si="19"/>
        <v>385.26000000000073</v>
      </c>
    </row>
    <row r="626" spans="1:5">
      <c r="A626">
        <v>128.41999999999999</v>
      </c>
      <c r="B626">
        <v>1</v>
      </c>
      <c r="C626">
        <v>128.41999999999999</v>
      </c>
      <c r="D626">
        <f t="shared" si="18"/>
        <v>128.41999999999999</v>
      </c>
      <c r="E626" s="36">
        <f t="shared" si="19"/>
        <v>128.42000000000107</v>
      </c>
    </row>
    <row r="627" spans="1:5">
      <c r="A627">
        <v>128.41999999999999</v>
      </c>
      <c r="B627">
        <v>1</v>
      </c>
      <c r="C627">
        <v>128.41999999999999</v>
      </c>
      <c r="D627">
        <f t="shared" si="18"/>
        <v>128.41999999999999</v>
      </c>
      <c r="E627" s="36">
        <f t="shared" si="19"/>
        <v>128.42000000000107</v>
      </c>
    </row>
    <row r="628" spans="1:5">
      <c r="A628">
        <v>128.41999999999999</v>
      </c>
      <c r="B628">
        <v>2</v>
      </c>
      <c r="C628">
        <v>256.83999999999997</v>
      </c>
      <c r="D628">
        <f t="shared" si="18"/>
        <v>256.83999999999997</v>
      </c>
      <c r="E628" s="36">
        <f t="shared" si="19"/>
        <v>256.84000000000088</v>
      </c>
    </row>
    <row r="629" spans="1:5">
      <c r="A629">
        <v>128.41999999999999</v>
      </c>
      <c r="B629">
        <v>2</v>
      </c>
      <c r="C629">
        <v>256.83999999999997</v>
      </c>
      <c r="D629">
        <f t="shared" si="18"/>
        <v>256.83999999999997</v>
      </c>
      <c r="E629" s="36">
        <f t="shared" si="19"/>
        <v>256.84000000000088</v>
      </c>
    </row>
    <row r="630" spans="1:5">
      <c r="A630">
        <v>128.41999999999999</v>
      </c>
      <c r="B630">
        <v>5</v>
      </c>
      <c r="C630">
        <v>642.09999999999991</v>
      </c>
      <c r="D630">
        <f t="shared" si="18"/>
        <v>642.09999999999991</v>
      </c>
      <c r="E630" s="36">
        <f t="shared" si="19"/>
        <v>642.10000000000025</v>
      </c>
    </row>
    <row r="631" spans="1:5">
      <c r="A631">
        <v>128.41999999999999</v>
      </c>
      <c r="B631">
        <v>5</v>
      </c>
      <c r="C631">
        <v>642.09999999999991</v>
      </c>
      <c r="D631">
        <f t="shared" si="18"/>
        <v>642.09999999999991</v>
      </c>
      <c r="E631" s="36">
        <f t="shared" si="19"/>
        <v>642.10000000000025</v>
      </c>
    </row>
    <row r="632" spans="1:5">
      <c r="A632">
        <v>128.41999999999999</v>
      </c>
      <c r="B632">
        <v>3</v>
      </c>
      <c r="C632">
        <v>385.26</v>
      </c>
      <c r="D632">
        <f t="shared" si="18"/>
        <v>385.26</v>
      </c>
      <c r="E632" s="36">
        <f t="shared" si="19"/>
        <v>385.26000000000073</v>
      </c>
    </row>
    <row r="633" spans="1:5">
      <c r="A633">
        <v>128.41999999999999</v>
      </c>
      <c r="B633">
        <v>5</v>
      </c>
      <c r="C633">
        <v>642.09999999999991</v>
      </c>
      <c r="D633">
        <f t="shared" si="18"/>
        <v>642.09999999999991</v>
      </c>
      <c r="E633" s="36">
        <f t="shared" si="19"/>
        <v>642.10000000000025</v>
      </c>
    </row>
    <row r="634" spans="1:5">
      <c r="A634">
        <v>128.41999999999999</v>
      </c>
      <c r="B634">
        <v>1</v>
      </c>
      <c r="C634">
        <v>128.41999999999999</v>
      </c>
      <c r="D634">
        <f t="shared" si="18"/>
        <v>128.41999999999999</v>
      </c>
      <c r="E634" s="36">
        <f t="shared" si="19"/>
        <v>128.42000000000107</v>
      </c>
    </row>
    <row r="635" spans="1:5">
      <c r="A635">
        <v>128.41999999999999</v>
      </c>
      <c r="B635">
        <v>2</v>
      </c>
      <c r="C635">
        <v>256.83999999999997</v>
      </c>
      <c r="D635">
        <f t="shared" si="18"/>
        <v>256.83999999999997</v>
      </c>
      <c r="E635" s="36">
        <f t="shared" si="19"/>
        <v>256.84000000000088</v>
      </c>
    </row>
    <row r="636" spans="1:5">
      <c r="A636">
        <v>128.41999999999999</v>
      </c>
      <c r="B636">
        <v>1</v>
      </c>
      <c r="C636">
        <v>128.41999999999999</v>
      </c>
      <c r="D636">
        <f t="shared" si="18"/>
        <v>128.41999999999999</v>
      </c>
      <c r="E636" s="36">
        <f t="shared" si="19"/>
        <v>128.42000000000107</v>
      </c>
    </row>
    <row r="637" spans="1:5">
      <c r="A637">
        <v>127.39</v>
      </c>
      <c r="B637">
        <v>2</v>
      </c>
      <c r="C637">
        <v>254.78</v>
      </c>
      <c r="D637">
        <f t="shared" si="18"/>
        <v>254.78</v>
      </c>
      <c r="E637" s="36">
        <f t="shared" si="19"/>
        <v>254.78000000000091</v>
      </c>
    </row>
    <row r="638" spans="1:5">
      <c r="A638">
        <v>125.61</v>
      </c>
      <c r="B638">
        <v>4</v>
      </c>
      <c r="C638">
        <v>502.44</v>
      </c>
      <c r="D638">
        <f t="shared" si="18"/>
        <v>502.44</v>
      </c>
      <c r="E638" s="36">
        <f t="shared" si="19"/>
        <v>502.44000000000057</v>
      </c>
    </row>
    <row r="639" spans="1:5">
      <c r="A639">
        <v>125.61</v>
      </c>
      <c r="B639">
        <v>4</v>
      </c>
      <c r="C639">
        <v>502.44</v>
      </c>
      <c r="D639">
        <f t="shared" si="18"/>
        <v>502.44</v>
      </c>
      <c r="E639" s="36">
        <f t="shared" si="19"/>
        <v>502.44000000000057</v>
      </c>
    </row>
    <row r="640" spans="1:5">
      <c r="A640">
        <v>125.61</v>
      </c>
      <c r="B640">
        <v>1</v>
      </c>
      <c r="C640">
        <v>125.61</v>
      </c>
      <c r="D640">
        <f t="shared" si="18"/>
        <v>125.61</v>
      </c>
      <c r="E640" s="36">
        <f t="shared" si="19"/>
        <v>125.61000000000108</v>
      </c>
    </row>
    <row r="641" spans="1:5">
      <c r="A641">
        <v>123.81</v>
      </c>
      <c r="B641">
        <v>5</v>
      </c>
      <c r="C641">
        <v>619.04999999999995</v>
      </c>
      <c r="D641">
        <f t="shared" si="18"/>
        <v>619.04999999999995</v>
      </c>
      <c r="E641" s="36">
        <f t="shared" si="19"/>
        <v>619.05000000000041</v>
      </c>
    </row>
    <row r="642" spans="1:5">
      <c r="A642">
        <v>123.56</v>
      </c>
      <c r="B642">
        <v>5</v>
      </c>
      <c r="C642">
        <v>617.79999999999995</v>
      </c>
      <c r="D642">
        <f t="shared" si="18"/>
        <v>617.79999999999995</v>
      </c>
      <c r="E642" s="36">
        <f t="shared" si="19"/>
        <v>617.80000000000041</v>
      </c>
    </row>
    <row r="643" spans="1:5">
      <c r="A643">
        <v>122.14</v>
      </c>
      <c r="B643">
        <v>3</v>
      </c>
      <c r="C643">
        <v>366.42</v>
      </c>
      <c r="D643">
        <f t="shared" ref="D643:D706" si="20">A643*B643</f>
        <v>366.42</v>
      </c>
      <c r="E643" s="36">
        <f t="shared" ref="E643:E706" si="21">$G$7 * D643 + $H$7</f>
        <v>366.42000000000075</v>
      </c>
    </row>
    <row r="644" spans="1:5">
      <c r="A644">
        <v>121.24</v>
      </c>
      <c r="B644">
        <v>1</v>
      </c>
      <c r="C644">
        <v>121.24</v>
      </c>
      <c r="D644">
        <f t="shared" si="20"/>
        <v>121.24</v>
      </c>
      <c r="E644" s="36">
        <f t="shared" si="21"/>
        <v>121.24000000000109</v>
      </c>
    </row>
    <row r="645" spans="1:5">
      <c r="A645">
        <v>120.98</v>
      </c>
      <c r="B645">
        <v>5</v>
      </c>
      <c r="C645">
        <v>604.9</v>
      </c>
      <c r="D645">
        <f t="shared" si="20"/>
        <v>604.9</v>
      </c>
      <c r="E645" s="36">
        <f t="shared" si="21"/>
        <v>604.90000000000043</v>
      </c>
    </row>
    <row r="646" spans="1:5">
      <c r="A646">
        <v>120.72</v>
      </c>
      <c r="B646">
        <v>4</v>
      </c>
      <c r="C646">
        <v>482.88</v>
      </c>
      <c r="D646">
        <f t="shared" si="20"/>
        <v>482.88</v>
      </c>
      <c r="E646" s="36">
        <f t="shared" si="21"/>
        <v>482.88000000000062</v>
      </c>
    </row>
    <row r="647" spans="1:5">
      <c r="A647">
        <v>119.95</v>
      </c>
      <c r="B647">
        <v>1</v>
      </c>
      <c r="C647">
        <v>119.95</v>
      </c>
      <c r="D647">
        <f t="shared" si="20"/>
        <v>119.95</v>
      </c>
      <c r="E647" s="36">
        <f t="shared" si="21"/>
        <v>119.9500000000011</v>
      </c>
    </row>
    <row r="648" spans="1:5">
      <c r="A648">
        <v>119.95</v>
      </c>
      <c r="B648">
        <v>1</v>
      </c>
      <c r="C648">
        <v>119.95</v>
      </c>
      <c r="D648">
        <f t="shared" si="20"/>
        <v>119.95</v>
      </c>
      <c r="E648" s="36">
        <f t="shared" si="21"/>
        <v>119.9500000000011</v>
      </c>
    </row>
    <row r="649" spans="1:5">
      <c r="A649">
        <v>118.9</v>
      </c>
      <c r="B649">
        <v>2</v>
      </c>
      <c r="C649">
        <v>237.8</v>
      </c>
      <c r="D649">
        <f t="shared" si="20"/>
        <v>237.8</v>
      </c>
      <c r="E649" s="36">
        <f t="shared" si="21"/>
        <v>237.80000000000095</v>
      </c>
    </row>
    <row r="650" spans="1:5">
      <c r="A650">
        <v>118.01</v>
      </c>
      <c r="B650">
        <v>5</v>
      </c>
      <c r="C650">
        <v>590.05000000000007</v>
      </c>
      <c r="D650">
        <f t="shared" si="20"/>
        <v>590.05000000000007</v>
      </c>
      <c r="E650" s="36">
        <f t="shared" si="21"/>
        <v>590.05000000000052</v>
      </c>
    </row>
    <row r="651" spans="1:5">
      <c r="A651">
        <v>115.83</v>
      </c>
      <c r="B651">
        <v>4</v>
      </c>
      <c r="C651">
        <v>463.32</v>
      </c>
      <c r="D651">
        <f t="shared" si="20"/>
        <v>463.32</v>
      </c>
      <c r="E651" s="36">
        <f t="shared" si="21"/>
        <v>463.32000000000062</v>
      </c>
    </row>
    <row r="652" spans="1:5">
      <c r="A652">
        <v>115.81</v>
      </c>
      <c r="B652">
        <v>4</v>
      </c>
      <c r="C652">
        <v>463.24</v>
      </c>
      <c r="D652">
        <f t="shared" si="20"/>
        <v>463.24</v>
      </c>
      <c r="E652" s="36">
        <f t="shared" si="21"/>
        <v>463.24000000000063</v>
      </c>
    </row>
    <row r="653" spans="1:5">
      <c r="A653">
        <v>115.58</v>
      </c>
      <c r="B653">
        <v>4</v>
      </c>
      <c r="C653">
        <v>462.32</v>
      </c>
      <c r="D653">
        <f t="shared" si="20"/>
        <v>462.32</v>
      </c>
      <c r="E653" s="36">
        <f t="shared" si="21"/>
        <v>462.32000000000062</v>
      </c>
    </row>
    <row r="654" spans="1:5">
      <c r="A654">
        <v>115.32</v>
      </c>
      <c r="B654">
        <v>4</v>
      </c>
      <c r="C654">
        <v>461.28</v>
      </c>
      <c r="D654">
        <f t="shared" si="20"/>
        <v>461.28</v>
      </c>
      <c r="E654" s="36">
        <f t="shared" si="21"/>
        <v>461.2800000000006</v>
      </c>
    </row>
    <row r="655" spans="1:5">
      <c r="A655">
        <v>114.63</v>
      </c>
      <c r="B655">
        <v>4</v>
      </c>
      <c r="C655">
        <v>458.52</v>
      </c>
      <c r="D655">
        <f t="shared" si="20"/>
        <v>458.52</v>
      </c>
      <c r="E655" s="36">
        <f t="shared" si="21"/>
        <v>458.52000000000061</v>
      </c>
    </row>
    <row r="656" spans="1:5">
      <c r="A656">
        <v>111.97</v>
      </c>
      <c r="B656">
        <v>3</v>
      </c>
      <c r="C656">
        <v>335.90999999999997</v>
      </c>
      <c r="D656">
        <f t="shared" si="20"/>
        <v>335.90999999999997</v>
      </c>
      <c r="E656" s="36">
        <f t="shared" si="21"/>
        <v>335.91000000000076</v>
      </c>
    </row>
    <row r="657" spans="1:5">
      <c r="A657">
        <v>110.68</v>
      </c>
      <c r="B657">
        <v>2</v>
      </c>
      <c r="C657">
        <v>221.36</v>
      </c>
      <c r="D657">
        <f t="shared" si="20"/>
        <v>221.36</v>
      </c>
      <c r="E657" s="36">
        <f t="shared" si="21"/>
        <v>221.36000000000098</v>
      </c>
    </row>
    <row r="658" spans="1:5">
      <c r="A658">
        <v>128.41999999999999</v>
      </c>
      <c r="B658">
        <v>4</v>
      </c>
      <c r="C658">
        <v>513.67999999999995</v>
      </c>
      <c r="D658">
        <f t="shared" si="20"/>
        <v>513.67999999999995</v>
      </c>
      <c r="E658" s="36">
        <f t="shared" si="21"/>
        <v>513.68000000000052</v>
      </c>
    </row>
    <row r="659" spans="1:5">
      <c r="A659">
        <v>128.41999999999999</v>
      </c>
      <c r="B659">
        <v>2</v>
      </c>
      <c r="C659">
        <v>256.83999999999997</v>
      </c>
      <c r="D659">
        <f t="shared" si="20"/>
        <v>256.83999999999997</v>
      </c>
      <c r="E659" s="36">
        <f t="shared" si="21"/>
        <v>256.84000000000088</v>
      </c>
    </row>
    <row r="660" spans="1:5">
      <c r="A660">
        <v>128.41999999999999</v>
      </c>
      <c r="B660">
        <v>4</v>
      </c>
      <c r="C660">
        <v>513.67999999999995</v>
      </c>
      <c r="D660">
        <f t="shared" si="20"/>
        <v>513.67999999999995</v>
      </c>
      <c r="E660" s="36">
        <f t="shared" si="21"/>
        <v>513.68000000000052</v>
      </c>
    </row>
    <row r="661" spans="1:5">
      <c r="A661">
        <v>109.66</v>
      </c>
      <c r="B661">
        <v>4</v>
      </c>
      <c r="C661">
        <v>438.64</v>
      </c>
      <c r="D661">
        <f t="shared" si="20"/>
        <v>438.64</v>
      </c>
      <c r="E661" s="36">
        <f t="shared" si="21"/>
        <v>438.64000000000067</v>
      </c>
    </row>
    <row r="662" spans="1:5">
      <c r="A662">
        <v>110.36</v>
      </c>
      <c r="B662">
        <v>1</v>
      </c>
      <c r="C662">
        <v>110.36</v>
      </c>
      <c r="D662">
        <f t="shared" si="20"/>
        <v>110.36</v>
      </c>
      <c r="E662" s="36">
        <f t="shared" si="21"/>
        <v>110.36000000000111</v>
      </c>
    </row>
    <row r="663" spans="1:5">
      <c r="A663">
        <v>108.98</v>
      </c>
      <c r="B663">
        <v>5</v>
      </c>
      <c r="C663">
        <v>544.9</v>
      </c>
      <c r="D663">
        <f t="shared" si="20"/>
        <v>544.9</v>
      </c>
      <c r="E663" s="36">
        <f t="shared" si="21"/>
        <v>544.90000000000055</v>
      </c>
    </row>
    <row r="664" spans="1:5">
      <c r="A664">
        <v>108.98</v>
      </c>
      <c r="B664">
        <v>3</v>
      </c>
      <c r="C664">
        <v>326.94</v>
      </c>
      <c r="D664">
        <f t="shared" si="20"/>
        <v>326.94</v>
      </c>
      <c r="E664" s="36">
        <f t="shared" si="21"/>
        <v>326.94000000000079</v>
      </c>
    </row>
    <row r="665" spans="1:5">
      <c r="A665">
        <v>108.11</v>
      </c>
      <c r="B665">
        <v>1</v>
      </c>
      <c r="C665">
        <v>108.11</v>
      </c>
      <c r="D665">
        <f t="shared" si="20"/>
        <v>108.11</v>
      </c>
      <c r="E665" s="36">
        <f t="shared" si="21"/>
        <v>108.11000000000111</v>
      </c>
    </row>
    <row r="666" spans="1:5">
      <c r="A666">
        <v>110.36</v>
      </c>
      <c r="B666">
        <v>2</v>
      </c>
      <c r="C666">
        <v>220.72</v>
      </c>
      <c r="D666">
        <f t="shared" si="20"/>
        <v>220.72</v>
      </c>
      <c r="E666" s="36">
        <f t="shared" si="21"/>
        <v>220.72000000000097</v>
      </c>
    </row>
    <row r="667" spans="1:5">
      <c r="A667">
        <v>110.36</v>
      </c>
      <c r="B667">
        <v>2</v>
      </c>
      <c r="C667">
        <v>220.72</v>
      </c>
      <c r="D667">
        <f t="shared" si="20"/>
        <v>220.72</v>
      </c>
      <c r="E667" s="36">
        <f t="shared" si="21"/>
        <v>220.72000000000097</v>
      </c>
    </row>
    <row r="668" spans="1:5">
      <c r="A668">
        <v>109.36</v>
      </c>
      <c r="B668">
        <v>1</v>
      </c>
      <c r="C668">
        <v>109.36</v>
      </c>
      <c r="D668">
        <f t="shared" si="20"/>
        <v>109.36</v>
      </c>
      <c r="E668" s="36">
        <f t="shared" si="21"/>
        <v>109.36000000000111</v>
      </c>
    </row>
    <row r="669" spans="1:5">
      <c r="A669">
        <v>106.98</v>
      </c>
      <c r="B669">
        <v>1</v>
      </c>
      <c r="C669">
        <v>106.98</v>
      </c>
      <c r="D669">
        <f t="shared" si="20"/>
        <v>106.98</v>
      </c>
      <c r="E669" s="36">
        <f t="shared" si="21"/>
        <v>106.98000000000111</v>
      </c>
    </row>
    <row r="670" spans="1:5">
      <c r="A670">
        <v>106.54</v>
      </c>
      <c r="B670">
        <v>2</v>
      </c>
      <c r="C670">
        <v>213.08</v>
      </c>
      <c r="D670">
        <f t="shared" si="20"/>
        <v>213.08</v>
      </c>
      <c r="E670" s="36">
        <f t="shared" si="21"/>
        <v>213.08000000000098</v>
      </c>
    </row>
    <row r="671" spans="1:5">
      <c r="A671">
        <v>105.7</v>
      </c>
      <c r="B671">
        <v>4</v>
      </c>
      <c r="C671">
        <v>422.8</v>
      </c>
      <c r="D671">
        <f t="shared" si="20"/>
        <v>422.8</v>
      </c>
      <c r="E671" s="36">
        <f t="shared" si="21"/>
        <v>422.80000000000069</v>
      </c>
    </row>
    <row r="672" spans="1:5">
      <c r="A672">
        <v>105.7</v>
      </c>
      <c r="B672">
        <v>5</v>
      </c>
      <c r="C672">
        <v>528.5</v>
      </c>
      <c r="D672">
        <f t="shared" si="20"/>
        <v>528.5</v>
      </c>
      <c r="E672" s="36">
        <f t="shared" si="21"/>
        <v>528.50000000000057</v>
      </c>
    </row>
    <row r="673" spans="1:5">
      <c r="A673">
        <v>105.7</v>
      </c>
      <c r="B673">
        <v>4</v>
      </c>
      <c r="C673">
        <v>422.8</v>
      </c>
      <c r="D673">
        <f t="shared" si="20"/>
        <v>422.8</v>
      </c>
      <c r="E673" s="36">
        <f t="shared" si="21"/>
        <v>422.80000000000069</v>
      </c>
    </row>
    <row r="674" spans="1:5">
      <c r="A674">
        <v>105.7</v>
      </c>
      <c r="B674">
        <v>5</v>
      </c>
      <c r="C674">
        <v>528.5</v>
      </c>
      <c r="D674">
        <f t="shared" si="20"/>
        <v>528.5</v>
      </c>
      <c r="E674" s="36">
        <f t="shared" si="21"/>
        <v>528.50000000000057</v>
      </c>
    </row>
    <row r="675" spans="1:5">
      <c r="A675">
        <v>105.7</v>
      </c>
      <c r="B675">
        <v>4</v>
      </c>
      <c r="C675">
        <v>422.8</v>
      </c>
      <c r="D675">
        <f t="shared" si="20"/>
        <v>422.8</v>
      </c>
      <c r="E675" s="36">
        <f t="shared" si="21"/>
        <v>422.80000000000069</v>
      </c>
    </row>
    <row r="676" spans="1:5">
      <c r="A676">
        <v>105.02</v>
      </c>
      <c r="B676">
        <v>2</v>
      </c>
      <c r="C676">
        <v>210.04</v>
      </c>
      <c r="D676">
        <f t="shared" si="20"/>
        <v>210.04</v>
      </c>
      <c r="E676" s="36">
        <f t="shared" si="21"/>
        <v>210.04000000000096</v>
      </c>
    </row>
    <row r="677" spans="1:5">
      <c r="A677">
        <v>102.94</v>
      </c>
      <c r="B677">
        <v>4</v>
      </c>
      <c r="C677">
        <v>411.76</v>
      </c>
      <c r="D677">
        <f t="shared" si="20"/>
        <v>411.76</v>
      </c>
      <c r="E677" s="36">
        <f t="shared" si="21"/>
        <v>411.76000000000067</v>
      </c>
    </row>
    <row r="678" spans="1:5">
      <c r="A678">
        <v>102.94</v>
      </c>
      <c r="B678">
        <v>5</v>
      </c>
      <c r="C678">
        <v>514.70000000000005</v>
      </c>
      <c r="D678">
        <f t="shared" si="20"/>
        <v>514.70000000000005</v>
      </c>
      <c r="E678" s="36">
        <f t="shared" si="21"/>
        <v>514.70000000000061</v>
      </c>
    </row>
    <row r="679" spans="1:5">
      <c r="A679">
        <v>102.58</v>
      </c>
      <c r="B679">
        <v>5</v>
      </c>
      <c r="C679">
        <v>512.9</v>
      </c>
      <c r="D679">
        <f t="shared" si="20"/>
        <v>512.9</v>
      </c>
      <c r="E679" s="36">
        <f t="shared" si="21"/>
        <v>512.90000000000055</v>
      </c>
    </row>
    <row r="680" spans="1:5">
      <c r="A680">
        <v>102.58</v>
      </c>
      <c r="B680">
        <v>4</v>
      </c>
      <c r="C680">
        <v>410.32</v>
      </c>
      <c r="D680">
        <f t="shared" si="20"/>
        <v>410.32</v>
      </c>
      <c r="E680" s="36">
        <f t="shared" si="21"/>
        <v>410.32000000000068</v>
      </c>
    </row>
    <row r="681" spans="1:5">
      <c r="A681">
        <v>107.45</v>
      </c>
      <c r="B681">
        <v>5</v>
      </c>
      <c r="C681">
        <v>537.25</v>
      </c>
      <c r="D681">
        <f t="shared" si="20"/>
        <v>537.25</v>
      </c>
      <c r="E681" s="36">
        <f t="shared" si="21"/>
        <v>537.25000000000057</v>
      </c>
    </row>
    <row r="682" spans="1:5">
      <c r="A682">
        <v>100.47</v>
      </c>
      <c r="B682">
        <v>1</v>
      </c>
      <c r="C682">
        <v>100.47</v>
      </c>
      <c r="D682">
        <f t="shared" si="20"/>
        <v>100.47</v>
      </c>
      <c r="E682" s="36">
        <f t="shared" si="21"/>
        <v>100.47000000000112</v>
      </c>
    </row>
    <row r="683" spans="1:5">
      <c r="A683">
        <v>100.39</v>
      </c>
      <c r="B683">
        <v>3</v>
      </c>
      <c r="C683">
        <v>301.17</v>
      </c>
      <c r="D683">
        <f t="shared" si="20"/>
        <v>301.17</v>
      </c>
      <c r="E683" s="36">
        <f t="shared" si="21"/>
        <v>301.17000000000087</v>
      </c>
    </row>
    <row r="684" spans="1:5">
      <c r="A684">
        <v>100.39</v>
      </c>
      <c r="B684">
        <v>5</v>
      </c>
      <c r="C684">
        <v>501.95</v>
      </c>
      <c r="D684">
        <f t="shared" si="20"/>
        <v>501.95</v>
      </c>
      <c r="E684" s="36">
        <f t="shared" si="21"/>
        <v>501.95000000000056</v>
      </c>
    </row>
    <row r="685" spans="1:5">
      <c r="A685">
        <v>100.39</v>
      </c>
      <c r="B685">
        <v>2</v>
      </c>
      <c r="C685">
        <v>200.78</v>
      </c>
      <c r="D685">
        <f t="shared" si="20"/>
        <v>200.78</v>
      </c>
      <c r="E685" s="36">
        <f t="shared" si="21"/>
        <v>200.780000000001</v>
      </c>
    </row>
    <row r="686" spans="1:5">
      <c r="A686">
        <v>100.36</v>
      </c>
      <c r="B686">
        <v>2</v>
      </c>
      <c r="C686">
        <v>200.72</v>
      </c>
      <c r="D686">
        <f t="shared" si="20"/>
        <v>200.72</v>
      </c>
      <c r="E686" s="36">
        <f t="shared" si="21"/>
        <v>200.72000000000099</v>
      </c>
    </row>
    <row r="687" spans="1:5">
      <c r="A687">
        <v>100.13</v>
      </c>
      <c r="B687">
        <v>5</v>
      </c>
      <c r="C687">
        <v>500.65</v>
      </c>
      <c r="D687">
        <f t="shared" si="20"/>
        <v>500.65</v>
      </c>
      <c r="E687" s="36">
        <f t="shared" si="21"/>
        <v>500.65000000000055</v>
      </c>
    </row>
    <row r="688" spans="1:5">
      <c r="A688">
        <v>99.1</v>
      </c>
      <c r="B688">
        <v>5</v>
      </c>
      <c r="C688">
        <v>495.5</v>
      </c>
      <c r="D688">
        <f t="shared" si="20"/>
        <v>495.5</v>
      </c>
      <c r="E688" s="36">
        <f t="shared" si="21"/>
        <v>495.50000000000057</v>
      </c>
    </row>
    <row r="689" spans="1:5">
      <c r="A689">
        <v>97.79</v>
      </c>
      <c r="B689">
        <v>1</v>
      </c>
      <c r="C689">
        <v>97.79</v>
      </c>
      <c r="D689">
        <f t="shared" si="20"/>
        <v>97.79</v>
      </c>
      <c r="E689" s="36">
        <f t="shared" si="21"/>
        <v>97.790000000001129</v>
      </c>
    </row>
    <row r="690" spans="1:5">
      <c r="A690">
        <v>96.67</v>
      </c>
      <c r="B690">
        <v>3</v>
      </c>
      <c r="C690">
        <v>290.01</v>
      </c>
      <c r="D690">
        <f t="shared" si="20"/>
        <v>290.01</v>
      </c>
      <c r="E690" s="36">
        <f t="shared" si="21"/>
        <v>290.01000000000084</v>
      </c>
    </row>
    <row r="691" spans="1:5">
      <c r="A691">
        <v>96.67</v>
      </c>
      <c r="B691">
        <v>1</v>
      </c>
      <c r="C691">
        <v>96.67</v>
      </c>
      <c r="D691">
        <f t="shared" si="20"/>
        <v>96.67</v>
      </c>
      <c r="E691" s="36">
        <f t="shared" si="21"/>
        <v>96.670000000001124</v>
      </c>
    </row>
    <row r="692" spans="1:5">
      <c r="A692">
        <v>94.98</v>
      </c>
      <c r="B692">
        <v>5</v>
      </c>
      <c r="C692">
        <v>474.90000000000003</v>
      </c>
      <c r="D692">
        <f t="shared" si="20"/>
        <v>474.90000000000003</v>
      </c>
      <c r="E692" s="36">
        <f t="shared" si="21"/>
        <v>474.90000000000066</v>
      </c>
    </row>
    <row r="693" spans="1:5">
      <c r="A693">
        <v>94.7</v>
      </c>
      <c r="B693">
        <v>4</v>
      </c>
      <c r="C693">
        <v>378.8</v>
      </c>
      <c r="D693">
        <f t="shared" si="20"/>
        <v>378.8</v>
      </c>
      <c r="E693" s="36">
        <f t="shared" si="21"/>
        <v>378.80000000000075</v>
      </c>
    </row>
    <row r="694" spans="1:5">
      <c r="A694">
        <v>94.66</v>
      </c>
      <c r="B694">
        <v>3</v>
      </c>
      <c r="C694">
        <v>283.98</v>
      </c>
      <c r="D694">
        <f t="shared" si="20"/>
        <v>283.98</v>
      </c>
      <c r="E694" s="36">
        <f t="shared" si="21"/>
        <v>283.98000000000087</v>
      </c>
    </row>
    <row r="695" spans="1:5">
      <c r="A695">
        <v>94.47</v>
      </c>
      <c r="B695">
        <v>4</v>
      </c>
      <c r="C695">
        <v>377.88</v>
      </c>
      <c r="D695">
        <f t="shared" si="20"/>
        <v>377.88</v>
      </c>
      <c r="E695" s="36">
        <f t="shared" si="21"/>
        <v>377.88000000000073</v>
      </c>
    </row>
    <row r="696" spans="1:5">
      <c r="A696">
        <v>93.51</v>
      </c>
      <c r="B696">
        <v>2</v>
      </c>
      <c r="C696">
        <v>187.02</v>
      </c>
      <c r="D696">
        <f t="shared" si="20"/>
        <v>187.02</v>
      </c>
      <c r="E696" s="36">
        <f t="shared" si="21"/>
        <v>187.020000000001</v>
      </c>
    </row>
    <row r="697" spans="1:5">
      <c r="A697">
        <v>92.41</v>
      </c>
      <c r="B697">
        <v>1</v>
      </c>
      <c r="C697">
        <v>92.41</v>
      </c>
      <c r="D697">
        <f t="shared" si="20"/>
        <v>92.41</v>
      </c>
      <c r="E697" s="36">
        <f t="shared" si="21"/>
        <v>92.410000000001119</v>
      </c>
    </row>
    <row r="698" spans="1:5">
      <c r="A698">
        <v>91.61</v>
      </c>
      <c r="B698">
        <v>1</v>
      </c>
      <c r="C698">
        <v>91.61</v>
      </c>
      <c r="D698">
        <f t="shared" si="20"/>
        <v>91.61</v>
      </c>
      <c r="E698" s="36">
        <f t="shared" si="21"/>
        <v>91.610000000001122</v>
      </c>
    </row>
    <row r="699" spans="1:5">
      <c r="A699">
        <v>91.38</v>
      </c>
      <c r="B699">
        <v>2</v>
      </c>
      <c r="C699">
        <v>182.76</v>
      </c>
      <c r="D699">
        <f t="shared" si="20"/>
        <v>182.76</v>
      </c>
      <c r="E699" s="36">
        <f t="shared" si="21"/>
        <v>182.76000000000099</v>
      </c>
    </row>
    <row r="700" spans="1:5">
      <c r="A700">
        <v>91.34</v>
      </c>
      <c r="B700">
        <v>1</v>
      </c>
      <c r="C700">
        <v>91.34</v>
      </c>
      <c r="D700">
        <f t="shared" si="20"/>
        <v>91.34</v>
      </c>
      <c r="E700" s="36">
        <f t="shared" si="21"/>
        <v>91.340000000001126</v>
      </c>
    </row>
    <row r="701" spans="1:5">
      <c r="A701">
        <v>90.44</v>
      </c>
      <c r="B701">
        <v>4</v>
      </c>
      <c r="C701">
        <v>361.76</v>
      </c>
      <c r="D701">
        <f t="shared" si="20"/>
        <v>361.76</v>
      </c>
      <c r="E701" s="36">
        <f t="shared" si="21"/>
        <v>361.76000000000079</v>
      </c>
    </row>
    <row r="702" spans="1:5">
      <c r="A702">
        <v>90.07</v>
      </c>
      <c r="B702">
        <v>1</v>
      </c>
      <c r="C702">
        <v>90.07</v>
      </c>
      <c r="D702">
        <f t="shared" si="20"/>
        <v>90.07</v>
      </c>
      <c r="E702" s="36">
        <f t="shared" si="21"/>
        <v>90.07000000000113</v>
      </c>
    </row>
    <row r="703" spans="1:5">
      <c r="A703">
        <v>90.07</v>
      </c>
      <c r="B703">
        <v>1</v>
      </c>
      <c r="C703">
        <v>90.07</v>
      </c>
      <c r="D703">
        <f t="shared" si="20"/>
        <v>90.07</v>
      </c>
      <c r="E703" s="36">
        <f t="shared" si="21"/>
        <v>90.07000000000113</v>
      </c>
    </row>
    <row r="704" spans="1:5">
      <c r="A704">
        <v>89.84</v>
      </c>
      <c r="B704">
        <v>4</v>
      </c>
      <c r="C704">
        <v>359.36</v>
      </c>
      <c r="D704">
        <f t="shared" si="20"/>
        <v>359.36</v>
      </c>
      <c r="E704" s="36">
        <f t="shared" si="21"/>
        <v>359.36000000000081</v>
      </c>
    </row>
    <row r="705" spans="1:5">
      <c r="A705">
        <v>107.45</v>
      </c>
      <c r="B705">
        <v>3</v>
      </c>
      <c r="C705">
        <v>322.35000000000002</v>
      </c>
      <c r="D705">
        <f t="shared" si="20"/>
        <v>322.35000000000002</v>
      </c>
      <c r="E705" s="36">
        <f t="shared" si="21"/>
        <v>322.35000000000082</v>
      </c>
    </row>
    <row r="706" spans="1:5">
      <c r="A706">
        <v>107.45</v>
      </c>
      <c r="B706">
        <v>5</v>
      </c>
      <c r="C706">
        <v>537.25</v>
      </c>
      <c r="D706">
        <f t="shared" si="20"/>
        <v>537.25</v>
      </c>
      <c r="E706" s="36">
        <f t="shared" si="21"/>
        <v>537.25000000000057</v>
      </c>
    </row>
    <row r="707" spans="1:5">
      <c r="A707">
        <v>101.16</v>
      </c>
      <c r="B707">
        <v>2</v>
      </c>
      <c r="C707">
        <v>202.32</v>
      </c>
      <c r="D707">
        <f t="shared" ref="D707:D770" si="22">A707*B707</f>
        <v>202.32</v>
      </c>
      <c r="E707" s="36">
        <f t="shared" ref="E707:E770" si="23">$G$7 * D707 + $H$7</f>
        <v>202.32000000000099</v>
      </c>
    </row>
    <row r="708" spans="1:5">
      <c r="A708">
        <v>88.29</v>
      </c>
      <c r="B708">
        <v>4</v>
      </c>
      <c r="C708">
        <v>353.16</v>
      </c>
      <c r="D708">
        <f t="shared" si="22"/>
        <v>353.16</v>
      </c>
      <c r="E708" s="36">
        <f t="shared" si="23"/>
        <v>353.16000000000082</v>
      </c>
    </row>
    <row r="709" spans="1:5">
      <c r="A709">
        <v>87.52</v>
      </c>
      <c r="B709">
        <v>5</v>
      </c>
      <c r="C709">
        <v>437.59999999999997</v>
      </c>
      <c r="D709">
        <f t="shared" si="22"/>
        <v>437.59999999999997</v>
      </c>
      <c r="E709" s="36">
        <f t="shared" si="23"/>
        <v>437.60000000000065</v>
      </c>
    </row>
    <row r="710" spans="1:5">
      <c r="A710">
        <v>87.26</v>
      </c>
      <c r="B710">
        <v>1</v>
      </c>
      <c r="C710">
        <v>87.26</v>
      </c>
      <c r="D710">
        <f t="shared" si="22"/>
        <v>87.26</v>
      </c>
      <c r="E710" s="36">
        <f t="shared" si="23"/>
        <v>87.260000000001142</v>
      </c>
    </row>
    <row r="711" spans="1:5">
      <c r="A711">
        <v>87</v>
      </c>
      <c r="B711">
        <v>5</v>
      </c>
      <c r="C711">
        <v>435</v>
      </c>
      <c r="D711">
        <f t="shared" si="22"/>
        <v>435</v>
      </c>
      <c r="E711" s="36">
        <f t="shared" si="23"/>
        <v>435.00000000000068</v>
      </c>
    </row>
    <row r="712" spans="1:5">
      <c r="A712">
        <v>86.23</v>
      </c>
      <c r="B712">
        <v>5</v>
      </c>
      <c r="C712">
        <v>431.15000000000003</v>
      </c>
      <c r="D712">
        <f t="shared" si="22"/>
        <v>431.15000000000003</v>
      </c>
      <c r="E712" s="36">
        <f t="shared" si="23"/>
        <v>431.15000000000072</v>
      </c>
    </row>
    <row r="713" spans="1:5">
      <c r="A713">
        <v>86.23</v>
      </c>
      <c r="B713">
        <v>4</v>
      </c>
      <c r="C713">
        <v>344.92</v>
      </c>
      <c r="D713">
        <f t="shared" si="22"/>
        <v>344.92</v>
      </c>
      <c r="E713" s="36">
        <f t="shared" si="23"/>
        <v>344.92000000000081</v>
      </c>
    </row>
    <row r="714" spans="1:5">
      <c r="A714">
        <v>86.23</v>
      </c>
      <c r="B714">
        <v>3</v>
      </c>
      <c r="C714">
        <v>258.69</v>
      </c>
      <c r="D714">
        <f t="shared" si="22"/>
        <v>258.69</v>
      </c>
      <c r="E714" s="36">
        <f t="shared" si="23"/>
        <v>258.69000000000091</v>
      </c>
    </row>
    <row r="715" spans="1:5">
      <c r="A715">
        <v>85.81</v>
      </c>
      <c r="B715">
        <v>3</v>
      </c>
      <c r="C715">
        <v>257.43</v>
      </c>
      <c r="D715">
        <f t="shared" si="22"/>
        <v>257.43</v>
      </c>
      <c r="E715" s="36">
        <f t="shared" si="23"/>
        <v>257.43000000000092</v>
      </c>
    </row>
    <row r="716" spans="1:5">
      <c r="A716">
        <v>84.94</v>
      </c>
      <c r="B716">
        <v>4</v>
      </c>
      <c r="C716">
        <v>339.76</v>
      </c>
      <c r="D716">
        <f t="shared" si="22"/>
        <v>339.76</v>
      </c>
      <c r="E716" s="36">
        <f t="shared" si="23"/>
        <v>339.76000000000079</v>
      </c>
    </row>
    <row r="717" spans="1:5">
      <c r="A717">
        <v>84.69</v>
      </c>
      <c r="B717">
        <v>2</v>
      </c>
      <c r="C717">
        <v>169.38</v>
      </c>
      <c r="D717">
        <f t="shared" si="22"/>
        <v>169.38</v>
      </c>
      <c r="E717" s="36">
        <f t="shared" si="23"/>
        <v>169.38000000000102</v>
      </c>
    </row>
    <row r="718" spans="1:5">
      <c r="A718">
        <v>84.43</v>
      </c>
      <c r="B718">
        <v>5</v>
      </c>
      <c r="C718">
        <v>422.15000000000003</v>
      </c>
      <c r="D718">
        <f t="shared" si="22"/>
        <v>422.15000000000003</v>
      </c>
      <c r="E718" s="36">
        <f t="shared" si="23"/>
        <v>422.15000000000072</v>
      </c>
    </row>
    <row r="719" spans="1:5">
      <c r="A719">
        <v>84.43</v>
      </c>
      <c r="B719">
        <v>3</v>
      </c>
      <c r="C719">
        <v>253.29000000000002</v>
      </c>
      <c r="D719">
        <f t="shared" si="22"/>
        <v>253.29000000000002</v>
      </c>
      <c r="E719" s="36">
        <f t="shared" si="23"/>
        <v>253.29000000000093</v>
      </c>
    </row>
    <row r="720" spans="1:5">
      <c r="A720">
        <v>82.63</v>
      </c>
      <c r="B720">
        <v>2</v>
      </c>
      <c r="C720">
        <v>165.26</v>
      </c>
      <c r="D720">
        <f t="shared" si="22"/>
        <v>165.26</v>
      </c>
      <c r="E720" s="36">
        <f t="shared" si="23"/>
        <v>165.26000000000101</v>
      </c>
    </row>
    <row r="721" spans="1:5">
      <c r="A721">
        <v>82.34</v>
      </c>
      <c r="B721">
        <v>5</v>
      </c>
      <c r="C721">
        <v>411.70000000000005</v>
      </c>
      <c r="D721">
        <f t="shared" si="22"/>
        <v>411.70000000000005</v>
      </c>
      <c r="E721" s="36">
        <f t="shared" si="23"/>
        <v>411.70000000000073</v>
      </c>
    </row>
    <row r="722" spans="1:5">
      <c r="A722">
        <v>81.86</v>
      </c>
      <c r="B722">
        <v>1</v>
      </c>
      <c r="C722">
        <v>81.86</v>
      </c>
      <c r="D722">
        <f t="shared" si="22"/>
        <v>81.86</v>
      </c>
      <c r="E722" s="36">
        <f t="shared" si="23"/>
        <v>81.860000000001136</v>
      </c>
    </row>
    <row r="723" spans="1:5">
      <c r="A723">
        <v>80.260000000000005</v>
      </c>
      <c r="B723">
        <v>4</v>
      </c>
      <c r="C723">
        <v>321.04000000000002</v>
      </c>
      <c r="D723">
        <f t="shared" si="22"/>
        <v>321.04000000000002</v>
      </c>
      <c r="E723" s="36">
        <f t="shared" si="23"/>
        <v>321.04000000000082</v>
      </c>
    </row>
    <row r="724" spans="1:5">
      <c r="A724">
        <v>79.02</v>
      </c>
      <c r="B724">
        <v>1</v>
      </c>
      <c r="C724">
        <v>79.02</v>
      </c>
      <c r="D724">
        <f t="shared" si="22"/>
        <v>79.02</v>
      </c>
      <c r="E724" s="36">
        <f t="shared" si="23"/>
        <v>79.020000000001147</v>
      </c>
    </row>
    <row r="725" spans="1:5">
      <c r="A725">
        <v>78.510000000000005</v>
      </c>
      <c r="B725">
        <v>4</v>
      </c>
      <c r="C725">
        <v>314.04000000000002</v>
      </c>
      <c r="D725">
        <f t="shared" si="22"/>
        <v>314.04000000000002</v>
      </c>
      <c r="E725" s="36">
        <f t="shared" si="23"/>
        <v>314.04000000000087</v>
      </c>
    </row>
    <row r="726" spans="1:5">
      <c r="A726">
        <v>77.739999999999995</v>
      </c>
      <c r="B726">
        <v>1</v>
      </c>
      <c r="C726">
        <v>77.739999999999995</v>
      </c>
      <c r="D726">
        <f t="shared" si="22"/>
        <v>77.739999999999995</v>
      </c>
      <c r="E726" s="36">
        <f t="shared" si="23"/>
        <v>77.740000000001146</v>
      </c>
    </row>
    <row r="727" spans="1:5">
      <c r="A727">
        <v>77.63</v>
      </c>
      <c r="B727">
        <v>1</v>
      </c>
      <c r="C727">
        <v>77.63</v>
      </c>
      <c r="D727">
        <f t="shared" si="22"/>
        <v>77.63</v>
      </c>
      <c r="E727" s="36">
        <f t="shared" si="23"/>
        <v>77.630000000001147</v>
      </c>
    </row>
    <row r="728" spans="1:5">
      <c r="A728">
        <v>77.63</v>
      </c>
      <c r="B728">
        <v>2</v>
      </c>
      <c r="C728">
        <v>155.26</v>
      </c>
      <c r="D728">
        <f t="shared" si="22"/>
        <v>155.26</v>
      </c>
      <c r="E728" s="36">
        <f t="shared" si="23"/>
        <v>155.26000000000104</v>
      </c>
    </row>
    <row r="729" spans="1:5">
      <c r="A729">
        <v>77.22</v>
      </c>
      <c r="B729">
        <v>2</v>
      </c>
      <c r="C729">
        <v>154.44</v>
      </c>
      <c r="D729">
        <f t="shared" si="22"/>
        <v>154.44</v>
      </c>
      <c r="E729" s="36">
        <f t="shared" si="23"/>
        <v>154.44000000000105</v>
      </c>
    </row>
    <row r="730" spans="1:5">
      <c r="A730">
        <v>77.17</v>
      </c>
      <c r="B730">
        <v>3</v>
      </c>
      <c r="C730">
        <v>231.51</v>
      </c>
      <c r="D730">
        <f t="shared" si="22"/>
        <v>231.51</v>
      </c>
      <c r="E730" s="36">
        <f t="shared" si="23"/>
        <v>231.51000000000093</v>
      </c>
    </row>
    <row r="731" spans="1:5">
      <c r="A731">
        <v>76.3</v>
      </c>
      <c r="B731">
        <v>2</v>
      </c>
      <c r="C731">
        <v>152.6</v>
      </c>
      <c r="D731">
        <f t="shared" si="22"/>
        <v>152.6</v>
      </c>
      <c r="E731" s="36">
        <f t="shared" si="23"/>
        <v>152.60000000000105</v>
      </c>
    </row>
    <row r="732" spans="1:5">
      <c r="A732">
        <v>75.94</v>
      </c>
      <c r="B732">
        <v>4</v>
      </c>
      <c r="C732">
        <v>303.76</v>
      </c>
      <c r="D732">
        <f t="shared" si="22"/>
        <v>303.76</v>
      </c>
      <c r="E732" s="36">
        <f t="shared" si="23"/>
        <v>303.76000000000084</v>
      </c>
    </row>
    <row r="733" spans="1:5">
      <c r="A733">
        <v>75.91</v>
      </c>
      <c r="B733">
        <v>2</v>
      </c>
      <c r="C733">
        <v>151.82</v>
      </c>
      <c r="D733">
        <f t="shared" si="22"/>
        <v>151.82</v>
      </c>
      <c r="E733" s="36">
        <f t="shared" si="23"/>
        <v>151.82000000000104</v>
      </c>
    </row>
    <row r="734" spans="1:5">
      <c r="A734">
        <v>75.38</v>
      </c>
      <c r="B734">
        <v>1</v>
      </c>
      <c r="C734">
        <v>75.38</v>
      </c>
      <c r="D734">
        <f t="shared" si="22"/>
        <v>75.38</v>
      </c>
      <c r="E734" s="36">
        <f t="shared" si="23"/>
        <v>75.380000000001147</v>
      </c>
    </row>
    <row r="735" spans="1:5">
      <c r="A735">
        <v>75.16</v>
      </c>
      <c r="B735">
        <v>1</v>
      </c>
      <c r="C735">
        <v>75.16</v>
      </c>
      <c r="D735">
        <f t="shared" si="22"/>
        <v>75.16</v>
      </c>
      <c r="E735" s="36">
        <f t="shared" si="23"/>
        <v>75.160000000001148</v>
      </c>
    </row>
    <row r="736" spans="1:5">
      <c r="A736">
        <v>73.36</v>
      </c>
      <c r="B736">
        <v>2</v>
      </c>
      <c r="C736">
        <v>146.72</v>
      </c>
      <c r="D736">
        <f t="shared" si="22"/>
        <v>146.72</v>
      </c>
      <c r="E736" s="36">
        <f t="shared" si="23"/>
        <v>146.72000000000105</v>
      </c>
    </row>
    <row r="737" spans="1:5">
      <c r="A737">
        <v>73.099999999999994</v>
      </c>
      <c r="B737">
        <v>5</v>
      </c>
      <c r="C737">
        <v>365.5</v>
      </c>
      <c r="D737">
        <f t="shared" si="22"/>
        <v>365.5</v>
      </c>
      <c r="E737" s="36">
        <f t="shared" si="23"/>
        <v>365.50000000000074</v>
      </c>
    </row>
    <row r="738" spans="1:5">
      <c r="A738">
        <v>72.33</v>
      </c>
      <c r="B738">
        <v>4</v>
      </c>
      <c r="C738">
        <v>289.32</v>
      </c>
      <c r="D738">
        <f t="shared" si="22"/>
        <v>289.32</v>
      </c>
      <c r="E738" s="36">
        <f t="shared" si="23"/>
        <v>289.32000000000085</v>
      </c>
    </row>
    <row r="739" spans="1:5">
      <c r="A739">
        <v>72.069999999999993</v>
      </c>
      <c r="B739">
        <v>1</v>
      </c>
      <c r="C739">
        <v>72.069999999999993</v>
      </c>
      <c r="D739">
        <f t="shared" si="22"/>
        <v>72.069999999999993</v>
      </c>
      <c r="E739" s="36">
        <f t="shared" si="23"/>
        <v>72.070000000001144</v>
      </c>
    </row>
    <row r="740" spans="1:5">
      <c r="A740">
        <v>71.900000000000006</v>
      </c>
      <c r="B740">
        <v>1</v>
      </c>
      <c r="C740">
        <v>71.900000000000006</v>
      </c>
      <c r="D740">
        <f t="shared" si="22"/>
        <v>71.900000000000006</v>
      </c>
      <c r="E740" s="36">
        <f t="shared" si="23"/>
        <v>71.900000000001157</v>
      </c>
    </row>
    <row r="741" spans="1:5">
      <c r="A741">
        <v>71.819999999999993</v>
      </c>
      <c r="B741">
        <v>1</v>
      </c>
      <c r="C741">
        <v>71.819999999999993</v>
      </c>
      <c r="D741">
        <f t="shared" si="22"/>
        <v>71.819999999999993</v>
      </c>
      <c r="E741" s="36">
        <f t="shared" si="23"/>
        <v>71.820000000001144</v>
      </c>
    </row>
    <row r="742" spans="1:5">
      <c r="A742">
        <v>71.819999999999993</v>
      </c>
      <c r="B742">
        <v>1</v>
      </c>
      <c r="C742">
        <v>71.819999999999993</v>
      </c>
      <c r="D742">
        <f t="shared" si="22"/>
        <v>71.819999999999993</v>
      </c>
      <c r="E742" s="36">
        <f t="shared" si="23"/>
        <v>71.820000000001144</v>
      </c>
    </row>
    <row r="743" spans="1:5">
      <c r="A743">
        <v>71.56</v>
      </c>
      <c r="B743">
        <v>1</v>
      </c>
      <c r="C743">
        <v>71.56</v>
      </c>
      <c r="D743">
        <f t="shared" si="22"/>
        <v>71.56</v>
      </c>
      <c r="E743" s="36">
        <f t="shared" si="23"/>
        <v>71.560000000001153</v>
      </c>
    </row>
    <row r="744" spans="1:5">
      <c r="A744">
        <v>70.790000000000006</v>
      </c>
      <c r="B744">
        <v>3</v>
      </c>
      <c r="C744">
        <v>212.37</v>
      </c>
      <c r="D744">
        <f t="shared" si="22"/>
        <v>212.37</v>
      </c>
      <c r="E744" s="36">
        <f t="shared" si="23"/>
        <v>212.37000000000097</v>
      </c>
    </row>
    <row r="745" spans="1:5">
      <c r="A745">
        <v>70.790000000000006</v>
      </c>
      <c r="B745">
        <v>1</v>
      </c>
      <c r="C745">
        <v>70.790000000000006</v>
      </c>
      <c r="D745">
        <f t="shared" si="22"/>
        <v>70.790000000000006</v>
      </c>
      <c r="E745" s="36">
        <f t="shared" si="23"/>
        <v>70.790000000001157</v>
      </c>
    </row>
    <row r="746" spans="1:5">
      <c r="A746">
        <v>70.400000000000006</v>
      </c>
      <c r="B746">
        <v>4</v>
      </c>
      <c r="C746">
        <v>281.60000000000002</v>
      </c>
      <c r="D746">
        <f t="shared" si="22"/>
        <v>281.60000000000002</v>
      </c>
      <c r="E746" s="36">
        <f t="shared" si="23"/>
        <v>281.60000000000088</v>
      </c>
    </row>
    <row r="747" spans="1:5">
      <c r="A747">
        <v>70.27</v>
      </c>
      <c r="B747">
        <v>4</v>
      </c>
      <c r="C747">
        <v>281.08</v>
      </c>
      <c r="D747">
        <f t="shared" si="22"/>
        <v>281.08</v>
      </c>
      <c r="E747" s="36">
        <f t="shared" si="23"/>
        <v>281.08000000000084</v>
      </c>
    </row>
    <row r="748" spans="1:5">
      <c r="A748">
        <v>70.27</v>
      </c>
      <c r="B748">
        <v>5</v>
      </c>
      <c r="C748">
        <v>351.34999999999997</v>
      </c>
      <c r="D748">
        <f t="shared" si="22"/>
        <v>351.34999999999997</v>
      </c>
      <c r="E748" s="36">
        <f t="shared" si="23"/>
        <v>351.35000000000076</v>
      </c>
    </row>
    <row r="749" spans="1:5">
      <c r="A749">
        <v>69.239999999999995</v>
      </c>
      <c r="B749">
        <v>4</v>
      </c>
      <c r="C749">
        <v>276.95999999999998</v>
      </c>
      <c r="D749">
        <f t="shared" si="22"/>
        <v>276.95999999999998</v>
      </c>
      <c r="E749" s="36">
        <f t="shared" si="23"/>
        <v>276.96000000000089</v>
      </c>
    </row>
    <row r="750" spans="1:5">
      <c r="A750">
        <v>69.239999999999995</v>
      </c>
      <c r="B750">
        <v>4</v>
      </c>
      <c r="C750">
        <v>276.95999999999998</v>
      </c>
      <c r="D750">
        <f t="shared" si="22"/>
        <v>276.95999999999998</v>
      </c>
      <c r="E750" s="36">
        <f t="shared" si="23"/>
        <v>276.96000000000089</v>
      </c>
    </row>
    <row r="751" spans="1:5">
      <c r="A751">
        <v>69.239999999999995</v>
      </c>
      <c r="B751">
        <v>3</v>
      </c>
      <c r="C751">
        <v>207.71999999999997</v>
      </c>
      <c r="D751">
        <f t="shared" si="22"/>
        <v>207.71999999999997</v>
      </c>
      <c r="E751" s="36">
        <f t="shared" si="23"/>
        <v>207.72000000000094</v>
      </c>
    </row>
    <row r="752" spans="1:5">
      <c r="A752">
        <v>69.08</v>
      </c>
      <c r="B752">
        <v>3</v>
      </c>
      <c r="C752">
        <v>207.24</v>
      </c>
      <c r="D752">
        <f t="shared" si="22"/>
        <v>207.24</v>
      </c>
      <c r="E752" s="36">
        <f t="shared" si="23"/>
        <v>207.24000000000098</v>
      </c>
    </row>
    <row r="753" spans="1:5">
      <c r="A753">
        <v>68.319999999999993</v>
      </c>
      <c r="B753">
        <v>2</v>
      </c>
      <c r="C753">
        <v>136.63999999999999</v>
      </c>
      <c r="D753">
        <f t="shared" si="22"/>
        <v>136.63999999999999</v>
      </c>
      <c r="E753" s="36">
        <f t="shared" si="23"/>
        <v>136.64000000000107</v>
      </c>
    </row>
    <row r="754" spans="1:5">
      <c r="A754">
        <v>67.44</v>
      </c>
      <c r="B754">
        <v>5</v>
      </c>
      <c r="C754">
        <v>337.2</v>
      </c>
      <c r="D754">
        <f t="shared" si="22"/>
        <v>337.2</v>
      </c>
      <c r="E754" s="36">
        <f t="shared" si="23"/>
        <v>337.20000000000078</v>
      </c>
    </row>
    <row r="755" spans="1:5">
      <c r="A755">
        <v>67.400000000000006</v>
      </c>
      <c r="B755">
        <v>3</v>
      </c>
      <c r="C755">
        <v>202.20000000000002</v>
      </c>
      <c r="D755">
        <f t="shared" si="22"/>
        <v>202.20000000000002</v>
      </c>
      <c r="E755" s="36">
        <f t="shared" si="23"/>
        <v>202.20000000000101</v>
      </c>
    </row>
    <row r="756" spans="1:5">
      <c r="A756">
        <v>66.930000000000007</v>
      </c>
      <c r="B756">
        <v>2</v>
      </c>
      <c r="C756">
        <v>133.86000000000001</v>
      </c>
      <c r="D756">
        <f t="shared" si="22"/>
        <v>133.86000000000001</v>
      </c>
      <c r="E756" s="36">
        <f t="shared" si="23"/>
        <v>133.86000000000109</v>
      </c>
    </row>
    <row r="757" spans="1:5">
      <c r="A757">
        <v>66.930000000000007</v>
      </c>
      <c r="B757">
        <v>4</v>
      </c>
      <c r="C757">
        <v>267.72000000000003</v>
      </c>
      <c r="D757">
        <f t="shared" si="22"/>
        <v>267.72000000000003</v>
      </c>
      <c r="E757" s="36">
        <f t="shared" si="23"/>
        <v>267.72000000000094</v>
      </c>
    </row>
    <row r="758" spans="1:5">
      <c r="A758">
        <v>88.29</v>
      </c>
      <c r="B758">
        <v>5</v>
      </c>
      <c r="C758">
        <v>441.45000000000005</v>
      </c>
      <c r="D758">
        <f t="shared" si="22"/>
        <v>441.45000000000005</v>
      </c>
      <c r="E758" s="36">
        <f t="shared" si="23"/>
        <v>441.45000000000073</v>
      </c>
    </row>
    <row r="759" spans="1:5">
      <c r="A759">
        <v>88.29</v>
      </c>
      <c r="B759">
        <v>1</v>
      </c>
      <c r="C759">
        <v>88.29</v>
      </c>
      <c r="D759">
        <f t="shared" si="22"/>
        <v>88.29</v>
      </c>
      <c r="E759" s="36">
        <f t="shared" si="23"/>
        <v>88.290000000001143</v>
      </c>
    </row>
    <row r="760" spans="1:5">
      <c r="A760">
        <v>66.900000000000006</v>
      </c>
      <c r="B760">
        <v>2</v>
      </c>
      <c r="C760">
        <v>133.80000000000001</v>
      </c>
      <c r="D760">
        <f t="shared" si="22"/>
        <v>133.80000000000001</v>
      </c>
      <c r="E760" s="36">
        <f t="shared" si="23"/>
        <v>133.80000000000109</v>
      </c>
    </row>
    <row r="761" spans="1:5">
      <c r="A761">
        <v>66.87</v>
      </c>
      <c r="B761">
        <v>2</v>
      </c>
      <c r="C761">
        <v>133.74</v>
      </c>
      <c r="D761">
        <f t="shared" si="22"/>
        <v>133.74</v>
      </c>
      <c r="E761" s="36">
        <f t="shared" si="23"/>
        <v>133.74000000000109</v>
      </c>
    </row>
    <row r="762" spans="1:5">
      <c r="A762">
        <v>66.87</v>
      </c>
      <c r="B762">
        <v>3</v>
      </c>
      <c r="C762">
        <v>200.61</v>
      </c>
      <c r="D762">
        <f t="shared" si="22"/>
        <v>200.61</v>
      </c>
      <c r="E762" s="36">
        <f t="shared" si="23"/>
        <v>200.61000000000101</v>
      </c>
    </row>
    <row r="763" spans="1:5">
      <c r="A763">
        <v>66.41</v>
      </c>
      <c r="B763">
        <v>4</v>
      </c>
      <c r="C763">
        <v>265.64</v>
      </c>
      <c r="D763">
        <f t="shared" si="22"/>
        <v>265.64</v>
      </c>
      <c r="E763" s="36">
        <f t="shared" si="23"/>
        <v>265.6400000000009</v>
      </c>
    </row>
    <row r="764" spans="1:5">
      <c r="A764">
        <v>65.38</v>
      </c>
      <c r="B764">
        <v>4</v>
      </c>
      <c r="C764">
        <v>261.52</v>
      </c>
      <c r="D764">
        <f t="shared" si="22"/>
        <v>261.52</v>
      </c>
      <c r="E764" s="36">
        <f t="shared" si="23"/>
        <v>261.52000000000089</v>
      </c>
    </row>
    <row r="765" spans="1:5">
      <c r="A765">
        <v>65.28</v>
      </c>
      <c r="B765">
        <v>2</v>
      </c>
      <c r="C765">
        <v>130.56</v>
      </c>
      <c r="D765">
        <f t="shared" si="22"/>
        <v>130.56</v>
      </c>
      <c r="E765" s="36">
        <f t="shared" si="23"/>
        <v>130.56000000000108</v>
      </c>
    </row>
    <row r="766" spans="1:5">
      <c r="A766">
        <v>64.78</v>
      </c>
      <c r="B766">
        <v>4</v>
      </c>
      <c r="C766">
        <v>259.12</v>
      </c>
      <c r="D766">
        <f t="shared" si="22"/>
        <v>259.12</v>
      </c>
      <c r="E766" s="36">
        <f t="shared" si="23"/>
        <v>259.12000000000091</v>
      </c>
    </row>
    <row r="767" spans="1:5">
      <c r="A767">
        <v>64.61</v>
      </c>
      <c r="B767">
        <v>2</v>
      </c>
      <c r="C767">
        <v>129.22</v>
      </c>
      <c r="D767">
        <f t="shared" si="22"/>
        <v>129.22</v>
      </c>
      <c r="E767" s="36">
        <f t="shared" si="23"/>
        <v>129.22000000000108</v>
      </c>
    </row>
    <row r="768" spans="1:5">
      <c r="A768">
        <v>64.17</v>
      </c>
      <c r="B768">
        <v>4</v>
      </c>
      <c r="C768">
        <v>256.68</v>
      </c>
      <c r="D768">
        <f t="shared" si="22"/>
        <v>256.68</v>
      </c>
      <c r="E768" s="36">
        <f t="shared" si="23"/>
        <v>256.68000000000092</v>
      </c>
    </row>
    <row r="769" spans="1:5">
      <c r="A769">
        <v>88.24</v>
      </c>
      <c r="B769">
        <v>4</v>
      </c>
      <c r="C769">
        <v>352.96</v>
      </c>
      <c r="D769">
        <f t="shared" si="22"/>
        <v>352.96</v>
      </c>
      <c r="E769" s="36">
        <f t="shared" si="23"/>
        <v>352.96000000000078</v>
      </c>
    </row>
    <row r="770" spans="1:5">
      <c r="A770">
        <v>66.900000000000006</v>
      </c>
      <c r="B770">
        <v>5</v>
      </c>
      <c r="C770">
        <v>334.5</v>
      </c>
      <c r="D770">
        <f t="shared" si="22"/>
        <v>334.5</v>
      </c>
      <c r="E770" s="36">
        <f t="shared" si="23"/>
        <v>334.5000000000008</v>
      </c>
    </row>
    <row r="771" spans="1:5">
      <c r="A771">
        <v>66.900000000000006</v>
      </c>
      <c r="B771">
        <v>2</v>
      </c>
      <c r="C771">
        <v>133.80000000000001</v>
      </c>
      <c r="D771">
        <f t="shared" ref="D771:D834" si="24">A771*B771</f>
        <v>133.80000000000001</v>
      </c>
      <c r="E771" s="36">
        <f t="shared" ref="E771:E834" si="25">$G$7 * D771 + $H$7</f>
        <v>133.80000000000109</v>
      </c>
    </row>
    <row r="772" spans="1:5">
      <c r="A772">
        <v>63.84</v>
      </c>
      <c r="B772">
        <v>5</v>
      </c>
      <c r="C772">
        <v>319.20000000000005</v>
      </c>
      <c r="D772">
        <f t="shared" si="24"/>
        <v>319.20000000000005</v>
      </c>
      <c r="E772" s="36">
        <f t="shared" si="25"/>
        <v>319.2000000000009</v>
      </c>
    </row>
    <row r="773" spans="1:5">
      <c r="A773">
        <v>62.81</v>
      </c>
      <c r="B773">
        <v>1</v>
      </c>
      <c r="C773">
        <v>62.81</v>
      </c>
      <c r="D773">
        <f t="shared" si="24"/>
        <v>62.81</v>
      </c>
      <c r="E773" s="36">
        <f t="shared" si="25"/>
        <v>62.810000000001168</v>
      </c>
    </row>
    <row r="774" spans="1:5">
      <c r="A774">
        <v>62.78</v>
      </c>
      <c r="B774">
        <v>2</v>
      </c>
      <c r="C774">
        <v>125.56</v>
      </c>
      <c r="D774">
        <f t="shared" si="24"/>
        <v>125.56</v>
      </c>
      <c r="E774" s="36">
        <f t="shared" si="25"/>
        <v>125.56000000000108</v>
      </c>
    </row>
    <row r="775" spans="1:5">
      <c r="A775">
        <v>62.55</v>
      </c>
      <c r="B775">
        <v>4</v>
      </c>
      <c r="C775">
        <v>250.2</v>
      </c>
      <c r="D775">
        <f t="shared" si="24"/>
        <v>250.2</v>
      </c>
      <c r="E775" s="36">
        <f t="shared" si="25"/>
        <v>250.2000000000009</v>
      </c>
    </row>
    <row r="776" spans="1:5">
      <c r="A776">
        <v>61.75</v>
      </c>
      <c r="B776">
        <v>1</v>
      </c>
      <c r="C776">
        <v>61.75</v>
      </c>
      <c r="D776">
        <f t="shared" si="24"/>
        <v>61.75</v>
      </c>
      <c r="E776" s="36">
        <f t="shared" si="25"/>
        <v>61.750000000001165</v>
      </c>
    </row>
    <row r="777" spans="1:5">
      <c r="A777">
        <v>61.75</v>
      </c>
      <c r="B777">
        <v>2</v>
      </c>
      <c r="C777">
        <v>123.5</v>
      </c>
      <c r="D777">
        <f t="shared" si="24"/>
        <v>123.5</v>
      </c>
      <c r="E777" s="36">
        <f t="shared" si="25"/>
        <v>123.50000000000108</v>
      </c>
    </row>
    <row r="778" spans="1:5">
      <c r="A778">
        <v>61.65</v>
      </c>
      <c r="B778">
        <v>3</v>
      </c>
      <c r="C778">
        <v>184.95</v>
      </c>
      <c r="D778">
        <f t="shared" si="24"/>
        <v>184.95</v>
      </c>
      <c r="E778" s="36">
        <f t="shared" si="25"/>
        <v>184.95000000000098</v>
      </c>
    </row>
    <row r="779" spans="1:5">
      <c r="A779">
        <v>61.65</v>
      </c>
      <c r="B779">
        <v>3</v>
      </c>
      <c r="C779">
        <v>184.95</v>
      </c>
      <c r="D779">
        <f t="shared" si="24"/>
        <v>184.95</v>
      </c>
      <c r="E779" s="36">
        <f t="shared" si="25"/>
        <v>184.95000000000098</v>
      </c>
    </row>
    <row r="780" spans="1:5">
      <c r="A780">
        <v>61.65</v>
      </c>
      <c r="B780">
        <v>2</v>
      </c>
      <c r="C780">
        <v>123.3</v>
      </c>
      <c r="D780">
        <f t="shared" si="24"/>
        <v>123.3</v>
      </c>
      <c r="E780" s="36">
        <f t="shared" si="25"/>
        <v>123.30000000000108</v>
      </c>
    </row>
    <row r="781" spans="1:5">
      <c r="A781">
        <v>61.65</v>
      </c>
      <c r="B781">
        <v>5</v>
      </c>
      <c r="C781">
        <v>308.25</v>
      </c>
      <c r="D781">
        <f t="shared" si="24"/>
        <v>308.25</v>
      </c>
      <c r="E781" s="36">
        <f t="shared" si="25"/>
        <v>308.25000000000085</v>
      </c>
    </row>
    <row r="782" spans="1:5">
      <c r="A782">
        <v>61.65</v>
      </c>
      <c r="B782">
        <v>2</v>
      </c>
      <c r="C782">
        <v>123.3</v>
      </c>
      <c r="D782">
        <f t="shared" si="24"/>
        <v>123.3</v>
      </c>
      <c r="E782" s="36">
        <f t="shared" si="25"/>
        <v>123.30000000000108</v>
      </c>
    </row>
    <row r="783" spans="1:5">
      <c r="A783">
        <v>61.65</v>
      </c>
      <c r="B783">
        <v>4</v>
      </c>
      <c r="C783">
        <v>246.6</v>
      </c>
      <c r="D783">
        <f t="shared" si="24"/>
        <v>246.6</v>
      </c>
      <c r="E783" s="36">
        <f t="shared" si="25"/>
        <v>246.6000000000009</v>
      </c>
    </row>
    <row r="784" spans="1:5">
      <c r="A784">
        <v>61.65</v>
      </c>
      <c r="B784">
        <v>4</v>
      </c>
      <c r="C784">
        <v>246.6</v>
      </c>
      <c r="D784">
        <f t="shared" si="24"/>
        <v>246.6</v>
      </c>
      <c r="E784" s="36">
        <f t="shared" si="25"/>
        <v>246.6000000000009</v>
      </c>
    </row>
    <row r="785" spans="1:5">
      <c r="A785">
        <v>61.65</v>
      </c>
      <c r="B785">
        <v>5</v>
      </c>
      <c r="C785">
        <v>308.25</v>
      </c>
      <c r="D785">
        <f t="shared" si="24"/>
        <v>308.25</v>
      </c>
      <c r="E785" s="36">
        <f t="shared" si="25"/>
        <v>308.25000000000085</v>
      </c>
    </row>
    <row r="786" spans="1:5">
      <c r="A786">
        <v>61.01</v>
      </c>
      <c r="B786">
        <v>4</v>
      </c>
      <c r="C786">
        <v>244.04</v>
      </c>
      <c r="D786">
        <f t="shared" si="24"/>
        <v>244.04</v>
      </c>
      <c r="E786" s="36">
        <f t="shared" si="25"/>
        <v>244.04000000000093</v>
      </c>
    </row>
    <row r="787" spans="1:5">
      <c r="A787">
        <v>59.72</v>
      </c>
      <c r="B787">
        <v>1</v>
      </c>
      <c r="C787">
        <v>59.72</v>
      </c>
      <c r="D787">
        <f t="shared" si="24"/>
        <v>59.72</v>
      </c>
      <c r="E787" s="36">
        <f t="shared" si="25"/>
        <v>59.720000000001171</v>
      </c>
    </row>
    <row r="788" spans="1:5">
      <c r="A788">
        <v>59.18</v>
      </c>
      <c r="B788">
        <v>5</v>
      </c>
      <c r="C788">
        <v>295.89999999999998</v>
      </c>
      <c r="D788">
        <f t="shared" si="24"/>
        <v>295.89999999999998</v>
      </c>
      <c r="E788" s="36">
        <f t="shared" si="25"/>
        <v>295.90000000000083</v>
      </c>
    </row>
    <row r="789" spans="1:5">
      <c r="A789">
        <v>59.13</v>
      </c>
      <c r="B789">
        <v>1</v>
      </c>
      <c r="C789">
        <v>59.13</v>
      </c>
      <c r="D789">
        <f t="shared" si="24"/>
        <v>59.13</v>
      </c>
      <c r="E789" s="36">
        <f t="shared" si="25"/>
        <v>59.130000000001175</v>
      </c>
    </row>
    <row r="790" spans="1:5">
      <c r="A790">
        <v>57.92</v>
      </c>
      <c r="B790">
        <v>4</v>
      </c>
      <c r="C790">
        <v>231.68</v>
      </c>
      <c r="D790">
        <f t="shared" si="24"/>
        <v>231.68</v>
      </c>
      <c r="E790" s="36">
        <f t="shared" si="25"/>
        <v>231.68000000000094</v>
      </c>
    </row>
    <row r="791" spans="1:5">
      <c r="A791">
        <v>57.92</v>
      </c>
      <c r="B791">
        <v>3</v>
      </c>
      <c r="C791">
        <v>173.76</v>
      </c>
      <c r="D791">
        <f t="shared" si="24"/>
        <v>173.76</v>
      </c>
      <c r="E791" s="36">
        <f t="shared" si="25"/>
        <v>173.76000000000101</v>
      </c>
    </row>
    <row r="792" spans="1:5">
      <c r="A792">
        <v>56.63</v>
      </c>
      <c r="B792">
        <v>5</v>
      </c>
      <c r="C792">
        <v>283.15000000000003</v>
      </c>
      <c r="D792">
        <f t="shared" si="24"/>
        <v>283.15000000000003</v>
      </c>
      <c r="E792" s="36">
        <f t="shared" si="25"/>
        <v>283.15000000000089</v>
      </c>
    </row>
    <row r="793" spans="1:5">
      <c r="A793">
        <v>56.6</v>
      </c>
      <c r="B793">
        <v>4</v>
      </c>
      <c r="C793">
        <v>226.4</v>
      </c>
      <c r="D793">
        <f t="shared" si="24"/>
        <v>226.4</v>
      </c>
      <c r="E793" s="36">
        <f t="shared" si="25"/>
        <v>226.40000000000094</v>
      </c>
    </row>
    <row r="794" spans="1:5">
      <c r="A794">
        <v>56.6</v>
      </c>
      <c r="B794">
        <v>5</v>
      </c>
      <c r="C794">
        <v>283</v>
      </c>
      <c r="D794">
        <f t="shared" si="24"/>
        <v>283</v>
      </c>
      <c r="E794" s="36">
        <f t="shared" si="25"/>
        <v>283.00000000000085</v>
      </c>
    </row>
    <row r="795" spans="1:5">
      <c r="A795">
        <v>56.37</v>
      </c>
      <c r="B795">
        <v>4</v>
      </c>
      <c r="C795">
        <v>225.48</v>
      </c>
      <c r="D795">
        <f t="shared" si="24"/>
        <v>225.48</v>
      </c>
      <c r="E795" s="36">
        <f t="shared" si="25"/>
        <v>225.48000000000093</v>
      </c>
    </row>
    <row r="796" spans="1:5">
      <c r="A796">
        <v>56.35</v>
      </c>
      <c r="B796">
        <v>3</v>
      </c>
      <c r="C796">
        <v>169.05</v>
      </c>
      <c r="D796">
        <f t="shared" si="24"/>
        <v>169.05</v>
      </c>
      <c r="E796" s="36">
        <f t="shared" si="25"/>
        <v>169.05000000000103</v>
      </c>
    </row>
    <row r="797" spans="1:5">
      <c r="A797">
        <v>56.29</v>
      </c>
      <c r="B797">
        <v>2</v>
      </c>
      <c r="C797">
        <v>112.58</v>
      </c>
      <c r="D797">
        <f t="shared" si="24"/>
        <v>112.58</v>
      </c>
      <c r="E797" s="36">
        <f t="shared" si="25"/>
        <v>112.58000000000109</v>
      </c>
    </row>
    <row r="798" spans="1:5">
      <c r="A798">
        <v>55.86</v>
      </c>
      <c r="B798">
        <v>4</v>
      </c>
      <c r="C798">
        <v>223.44</v>
      </c>
      <c r="D798">
        <f t="shared" si="24"/>
        <v>223.44</v>
      </c>
      <c r="E798" s="36">
        <f t="shared" si="25"/>
        <v>223.44000000000096</v>
      </c>
    </row>
    <row r="799" spans="1:5">
      <c r="A799">
        <v>55.86</v>
      </c>
      <c r="B799">
        <v>4</v>
      </c>
      <c r="C799">
        <v>223.44</v>
      </c>
      <c r="D799">
        <f t="shared" si="24"/>
        <v>223.44</v>
      </c>
      <c r="E799" s="36">
        <f t="shared" si="25"/>
        <v>223.44000000000096</v>
      </c>
    </row>
    <row r="800" spans="1:5">
      <c r="A800">
        <v>55.34</v>
      </c>
      <c r="B800">
        <v>3</v>
      </c>
      <c r="C800">
        <v>166.02</v>
      </c>
      <c r="D800">
        <f t="shared" si="24"/>
        <v>166.02</v>
      </c>
      <c r="E800" s="36">
        <f t="shared" si="25"/>
        <v>166.02000000000103</v>
      </c>
    </row>
    <row r="801" spans="1:5">
      <c r="A801">
        <v>54.83</v>
      </c>
      <c r="B801">
        <v>1</v>
      </c>
      <c r="C801">
        <v>54.83</v>
      </c>
      <c r="D801">
        <f t="shared" si="24"/>
        <v>54.83</v>
      </c>
      <c r="E801" s="36">
        <f t="shared" si="25"/>
        <v>54.830000000001178</v>
      </c>
    </row>
    <row r="802" spans="1:5">
      <c r="A802">
        <v>54.25</v>
      </c>
      <c r="B802">
        <v>3</v>
      </c>
      <c r="C802">
        <v>162.75</v>
      </c>
      <c r="D802">
        <f t="shared" si="24"/>
        <v>162.75</v>
      </c>
      <c r="E802" s="36">
        <f t="shared" si="25"/>
        <v>162.75000000000102</v>
      </c>
    </row>
    <row r="803" spans="1:5">
      <c r="A803">
        <v>54.06</v>
      </c>
      <c r="B803">
        <v>5</v>
      </c>
      <c r="C803">
        <v>270.3</v>
      </c>
      <c r="D803">
        <f t="shared" si="24"/>
        <v>270.3</v>
      </c>
      <c r="E803" s="36">
        <f t="shared" si="25"/>
        <v>270.30000000000092</v>
      </c>
    </row>
    <row r="804" spans="1:5">
      <c r="A804">
        <v>53.8</v>
      </c>
      <c r="B804">
        <v>1</v>
      </c>
      <c r="C804">
        <v>53.8</v>
      </c>
      <c r="D804">
        <f t="shared" si="24"/>
        <v>53.8</v>
      </c>
      <c r="E804" s="36">
        <f t="shared" si="25"/>
        <v>53.800000000001177</v>
      </c>
    </row>
    <row r="805" spans="1:5">
      <c r="A805">
        <v>52.92</v>
      </c>
      <c r="B805">
        <v>1</v>
      </c>
      <c r="C805">
        <v>52.92</v>
      </c>
      <c r="D805">
        <f t="shared" si="24"/>
        <v>52.92</v>
      </c>
      <c r="E805" s="36">
        <f t="shared" si="25"/>
        <v>52.920000000001181</v>
      </c>
    </row>
    <row r="806" spans="1:5">
      <c r="A806">
        <v>52.77</v>
      </c>
      <c r="B806">
        <v>5</v>
      </c>
      <c r="C806">
        <v>263.85000000000002</v>
      </c>
      <c r="D806">
        <f t="shared" si="24"/>
        <v>263.85000000000002</v>
      </c>
      <c r="E806" s="36">
        <f t="shared" si="25"/>
        <v>263.85000000000093</v>
      </c>
    </row>
    <row r="807" spans="1:5">
      <c r="A807">
        <v>52.23</v>
      </c>
      <c r="B807">
        <v>3</v>
      </c>
      <c r="C807">
        <v>156.69</v>
      </c>
      <c r="D807">
        <f t="shared" si="24"/>
        <v>156.69</v>
      </c>
      <c r="E807" s="36">
        <f t="shared" si="25"/>
        <v>156.69000000000105</v>
      </c>
    </row>
    <row r="808" spans="1:5">
      <c r="A808">
        <v>52.2</v>
      </c>
      <c r="B808">
        <v>1</v>
      </c>
      <c r="C808">
        <v>52.2</v>
      </c>
      <c r="D808">
        <f t="shared" si="24"/>
        <v>52.2</v>
      </c>
      <c r="E808" s="36">
        <f t="shared" si="25"/>
        <v>52.200000000001182</v>
      </c>
    </row>
    <row r="809" spans="1:5">
      <c r="A809">
        <v>51.48</v>
      </c>
      <c r="B809">
        <v>5</v>
      </c>
      <c r="C809">
        <v>257.39999999999998</v>
      </c>
      <c r="D809">
        <f t="shared" si="24"/>
        <v>257.39999999999998</v>
      </c>
      <c r="E809" s="36">
        <f t="shared" si="25"/>
        <v>257.40000000000089</v>
      </c>
    </row>
    <row r="810" spans="1:5">
      <c r="A810">
        <v>51.22</v>
      </c>
      <c r="B810">
        <v>1</v>
      </c>
      <c r="C810">
        <v>51.22</v>
      </c>
      <c r="D810">
        <f t="shared" si="24"/>
        <v>51.22</v>
      </c>
      <c r="E810" s="36">
        <f t="shared" si="25"/>
        <v>51.220000000001178</v>
      </c>
    </row>
    <row r="811" spans="1:5">
      <c r="A811">
        <v>51.22</v>
      </c>
      <c r="B811">
        <v>3</v>
      </c>
      <c r="C811">
        <v>153.66</v>
      </c>
      <c r="D811">
        <f t="shared" si="24"/>
        <v>153.66</v>
      </c>
      <c r="E811" s="36">
        <f t="shared" si="25"/>
        <v>153.66000000000105</v>
      </c>
    </row>
    <row r="812" spans="1:5">
      <c r="A812">
        <v>50.45</v>
      </c>
      <c r="B812">
        <v>2</v>
      </c>
      <c r="C812">
        <v>100.9</v>
      </c>
      <c r="D812">
        <f t="shared" si="24"/>
        <v>100.9</v>
      </c>
      <c r="E812" s="36">
        <f t="shared" si="25"/>
        <v>100.90000000000113</v>
      </c>
    </row>
    <row r="813" spans="1:5">
      <c r="A813">
        <v>49.94</v>
      </c>
      <c r="B813">
        <v>2</v>
      </c>
      <c r="C813">
        <v>99.88</v>
      </c>
      <c r="D813">
        <f t="shared" si="24"/>
        <v>99.88</v>
      </c>
      <c r="E813" s="36">
        <f t="shared" si="25"/>
        <v>99.880000000001118</v>
      </c>
    </row>
    <row r="814" spans="1:5">
      <c r="A814">
        <v>49.82</v>
      </c>
      <c r="B814">
        <v>2</v>
      </c>
      <c r="C814">
        <v>99.64</v>
      </c>
      <c r="D814">
        <f t="shared" si="24"/>
        <v>99.64</v>
      </c>
      <c r="E814" s="36">
        <f t="shared" si="25"/>
        <v>99.640000000001123</v>
      </c>
    </row>
    <row r="815" spans="1:5">
      <c r="A815">
        <v>49.68</v>
      </c>
      <c r="B815">
        <v>1</v>
      </c>
      <c r="C815">
        <v>49.68</v>
      </c>
      <c r="D815">
        <f t="shared" si="24"/>
        <v>49.68</v>
      </c>
      <c r="E815" s="36">
        <f t="shared" si="25"/>
        <v>49.680000000001186</v>
      </c>
    </row>
    <row r="816" spans="1:5">
      <c r="A816">
        <v>48.88</v>
      </c>
      <c r="B816">
        <v>3</v>
      </c>
      <c r="C816">
        <v>146.64000000000001</v>
      </c>
      <c r="D816">
        <f t="shared" si="24"/>
        <v>146.64000000000001</v>
      </c>
      <c r="E816" s="36">
        <f t="shared" si="25"/>
        <v>146.64000000000107</v>
      </c>
    </row>
    <row r="817" spans="1:5">
      <c r="A817">
        <v>48.62</v>
      </c>
      <c r="B817">
        <v>4</v>
      </c>
      <c r="C817">
        <v>194.48</v>
      </c>
      <c r="D817">
        <f t="shared" si="24"/>
        <v>194.48</v>
      </c>
      <c r="E817" s="36">
        <f t="shared" si="25"/>
        <v>194.48000000000098</v>
      </c>
    </row>
    <row r="818" spans="1:5">
      <c r="A818">
        <v>48.37</v>
      </c>
      <c r="B818">
        <v>5</v>
      </c>
      <c r="C818">
        <v>241.85</v>
      </c>
      <c r="D818">
        <f t="shared" si="24"/>
        <v>241.85</v>
      </c>
      <c r="E818" s="36">
        <f t="shared" si="25"/>
        <v>241.85000000000093</v>
      </c>
    </row>
    <row r="819" spans="1:5">
      <c r="A819">
        <v>48.34</v>
      </c>
      <c r="B819">
        <v>3</v>
      </c>
      <c r="C819">
        <v>145.02000000000001</v>
      </c>
      <c r="D819">
        <f t="shared" si="24"/>
        <v>145.02000000000001</v>
      </c>
      <c r="E819" s="36">
        <f t="shared" si="25"/>
        <v>145.02000000000106</v>
      </c>
    </row>
    <row r="820" spans="1:5">
      <c r="A820">
        <v>47.62</v>
      </c>
      <c r="B820">
        <v>3</v>
      </c>
      <c r="C820">
        <v>142.85999999999999</v>
      </c>
      <c r="D820">
        <f t="shared" si="24"/>
        <v>142.85999999999999</v>
      </c>
      <c r="E820" s="36">
        <f t="shared" si="25"/>
        <v>142.86000000000104</v>
      </c>
    </row>
    <row r="821" spans="1:5">
      <c r="A821">
        <v>47.36</v>
      </c>
      <c r="B821">
        <v>4</v>
      </c>
      <c r="C821">
        <v>189.44</v>
      </c>
      <c r="D821">
        <f t="shared" si="24"/>
        <v>189.44</v>
      </c>
      <c r="E821" s="36">
        <f t="shared" si="25"/>
        <v>189.44000000000099</v>
      </c>
    </row>
    <row r="822" spans="1:5">
      <c r="A822">
        <v>46.33</v>
      </c>
      <c r="B822">
        <v>3</v>
      </c>
      <c r="C822">
        <v>138.99</v>
      </c>
      <c r="D822">
        <f t="shared" si="24"/>
        <v>138.99</v>
      </c>
      <c r="E822" s="36">
        <f t="shared" si="25"/>
        <v>138.99000000000106</v>
      </c>
    </row>
    <row r="823" spans="1:5">
      <c r="A823">
        <v>46.31</v>
      </c>
      <c r="B823">
        <v>1</v>
      </c>
      <c r="C823">
        <v>46.31</v>
      </c>
      <c r="D823">
        <f t="shared" si="24"/>
        <v>46.31</v>
      </c>
      <c r="E823" s="36">
        <f t="shared" si="25"/>
        <v>46.310000000001189</v>
      </c>
    </row>
    <row r="824" spans="1:5">
      <c r="A824">
        <v>46.31</v>
      </c>
      <c r="B824">
        <v>4</v>
      </c>
      <c r="C824">
        <v>185.24</v>
      </c>
      <c r="D824">
        <f t="shared" si="24"/>
        <v>185.24</v>
      </c>
      <c r="E824" s="36">
        <f t="shared" si="25"/>
        <v>185.240000000001</v>
      </c>
    </row>
    <row r="825" spans="1:5">
      <c r="A825">
        <v>45.84</v>
      </c>
      <c r="B825">
        <v>1</v>
      </c>
      <c r="C825">
        <v>45.84</v>
      </c>
      <c r="D825">
        <f t="shared" si="24"/>
        <v>45.84</v>
      </c>
      <c r="E825" s="36">
        <f t="shared" si="25"/>
        <v>45.84000000000119</v>
      </c>
    </row>
    <row r="826" spans="1:5">
      <c r="A826">
        <v>45.82</v>
      </c>
      <c r="B826">
        <v>1</v>
      </c>
      <c r="C826">
        <v>45.82</v>
      </c>
      <c r="D826">
        <f t="shared" si="24"/>
        <v>45.82</v>
      </c>
      <c r="E826" s="36">
        <f t="shared" si="25"/>
        <v>45.820000000001187</v>
      </c>
    </row>
    <row r="827" spans="1:5">
      <c r="A827">
        <v>45.82</v>
      </c>
      <c r="B827">
        <v>4</v>
      </c>
      <c r="C827">
        <v>183.28</v>
      </c>
      <c r="D827">
        <f t="shared" si="24"/>
        <v>183.28</v>
      </c>
      <c r="E827" s="36">
        <f t="shared" si="25"/>
        <v>183.280000000001</v>
      </c>
    </row>
    <row r="828" spans="1:5">
      <c r="A828">
        <v>45.82</v>
      </c>
      <c r="B828">
        <v>4</v>
      </c>
      <c r="C828">
        <v>183.28</v>
      </c>
      <c r="D828">
        <f t="shared" si="24"/>
        <v>183.28</v>
      </c>
      <c r="E828" s="36">
        <f t="shared" si="25"/>
        <v>183.280000000001</v>
      </c>
    </row>
    <row r="829" spans="1:5">
      <c r="A829">
        <v>45.52</v>
      </c>
      <c r="B829">
        <v>1</v>
      </c>
      <c r="C829">
        <v>45.52</v>
      </c>
      <c r="D829">
        <f t="shared" si="24"/>
        <v>45.52</v>
      </c>
      <c r="E829" s="36">
        <f t="shared" si="25"/>
        <v>45.52000000000119</v>
      </c>
    </row>
    <row r="830" spans="1:5">
      <c r="A830">
        <v>45.05</v>
      </c>
      <c r="B830">
        <v>3</v>
      </c>
      <c r="C830">
        <v>135.14999999999998</v>
      </c>
      <c r="D830">
        <f t="shared" si="24"/>
        <v>135.14999999999998</v>
      </c>
      <c r="E830" s="36">
        <f t="shared" si="25"/>
        <v>135.15000000000106</v>
      </c>
    </row>
    <row r="831" spans="1:5">
      <c r="A831">
        <v>45.05</v>
      </c>
      <c r="B831">
        <v>3</v>
      </c>
      <c r="C831">
        <v>135.14999999999998</v>
      </c>
      <c r="D831">
        <f t="shared" si="24"/>
        <v>135.14999999999998</v>
      </c>
      <c r="E831" s="36">
        <f t="shared" si="25"/>
        <v>135.15000000000106</v>
      </c>
    </row>
    <row r="832" spans="1:5">
      <c r="A832">
        <v>43.98</v>
      </c>
      <c r="B832">
        <v>5</v>
      </c>
      <c r="C832">
        <v>219.89999999999998</v>
      </c>
      <c r="D832">
        <f t="shared" si="24"/>
        <v>219.89999999999998</v>
      </c>
      <c r="E832" s="36">
        <f t="shared" si="25"/>
        <v>219.90000000000094</v>
      </c>
    </row>
    <row r="833" spans="1:5">
      <c r="A833">
        <v>43.76</v>
      </c>
      <c r="B833">
        <v>5</v>
      </c>
      <c r="C833">
        <v>218.79999999999998</v>
      </c>
      <c r="D833">
        <f t="shared" si="24"/>
        <v>218.79999999999998</v>
      </c>
      <c r="E833" s="36">
        <f t="shared" si="25"/>
        <v>218.80000000000095</v>
      </c>
    </row>
    <row r="834" spans="1:5">
      <c r="A834">
        <v>43.73</v>
      </c>
      <c r="B834">
        <v>1</v>
      </c>
      <c r="C834">
        <v>43.73</v>
      </c>
      <c r="D834">
        <f t="shared" si="24"/>
        <v>43.73</v>
      </c>
      <c r="E834" s="36">
        <f t="shared" si="25"/>
        <v>43.730000000001191</v>
      </c>
    </row>
    <row r="835" spans="1:5">
      <c r="A835">
        <v>43.73</v>
      </c>
      <c r="B835">
        <v>1</v>
      </c>
      <c r="C835">
        <v>43.73</v>
      </c>
      <c r="D835">
        <f t="shared" ref="D835:D898" si="26">A835*B835</f>
        <v>43.73</v>
      </c>
      <c r="E835" s="36">
        <f t="shared" ref="E835:E898" si="27">$G$7 * D835 + $H$7</f>
        <v>43.730000000001191</v>
      </c>
    </row>
    <row r="836" spans="1:5">
      <c r="A836">
        <v>43.73</v>
      </c>
      <c r="B836">
        <v>3</v>
      </c>
      <c r="C836">
        <v>131.19</v>
      </c>
      <c r="D836">
        <f t="shared" si="26"/>
        <v>131.19</v>
      </c>
      <c r="E836" s="36">
        <f t="shared" si="27"/>
        <v>131.19000000000108</v>
      </c>
    </row>
    <row r="837" spans="1:5">
      <c r="A837">
        <v>43.5</v>
      </c>
      <c r="B837">
        <v>5</v>
      </c>
      <c r="C837">
        <v>217.5</v>
      </c>
      <c r="D837">
        <f t="shared" si="26"/>
        <v>217.5</v>
      </c>
      <c r="E837" s="36">
        <f t="shared" si="27"/>
        <v>217.50000000000097</v>
      </c>
    </row>
    <row r="838" spans="1:5">
      <c r="A838">
        <v>64.02</v>
      </c>
      <c r="B838">
        <v>1</v>
      </c>
      <c r="C838">
        <v>64.02</v>
      </c>
      <c r="D838">
        <f t="shared" si="26"/>
        <v>64.02</v>
      </c>
      <c r="E838" s="36">
        <f t="shared" si="27"/>
        <v>64.020000000001161</v>
      </c>
    </row>
    <row r="839" spans="1:5">
      <c r="A839">
        <v>43.24</v>
      </c>
      <c r="B839">
        <v>5</v>
      </c>
      <c r="C839">
        <v>216.20000000000002</v>
      </c>
      <c r="D839">
        <f t="shared" si="26"/>
        <v>216.20000000000002</v>
      </c>
      <c r="E839" s="36">
        <f t="shared" si="27"/>
        <v>216.20000000000098</v>
      </c>
    </row>
    <row r="840" spans="1:5">
      <c r="A840">
        <v>42.99</v>
      </c>
      <c r="B840">
        <v>2</v>
      </c>
      <c r="C840">
        <v>85.98</v>
      </c>
      <c r="D840">
        <f t="shared" si="26"/>
        <v>85.98</v>
      </c>
      <c r="E840" s="36">
        <f t="shared" si="27"/>
        <v>85.980000000001141</v>
      </c>
    </row>
    <row r="841" spans="1:5">
      <c r="A841">
        <v>42.99</v>
      </c>
      <c r="B841">
        <v>3</v>
      </c>
      <c r="C841">
        <v>128.97</v>
      </c>
      <c r="D841">
        <f t="shared" si="26"/>
        <v>128.97</v>
      </c>
      <c r="E841" s="36">
        <f t="shared" si="27"/>
        <v>128.97000000000108</v>
      </c>
    </row>
    <row r="842" spans="1:5">
      <c r="A842">
        <v>42.99</v>
      </c>
      <c r="B842">
        <v>3</v>
      </c>
      <c r="C842">
        <v>128.97</v>
      </c>
      <c r="D842">
        <f t="shared" si="26"/>
        <v>128.97</v>
      </c>
      <c r="E842" s="36">
        <f t="shared" si="27"/>
        <v>128.97000000000108</v>
      </c>
    </row>
    <row r="843" spans="1:5">
      <c r="A843">
        <v>42.47</v>
      </c>
      <c r="B843">
        <v>3</v>
      </c>
      <c r="C843">
        <v>127.41</v>
      </c>
      <c r="D843">
        <f t="shared" si="26"/>
        <v>127.41</v>
      </c>
      <c r="E843" s="36">
        <f t="shared" si="27"/>
        <v>127.41000000000108</v>
      </c>
    </row>
    <row r="844" spans="1:5">
      <c r="A844">
        <v>42.47</v>
      </c>
      <c r="B844">
        <v>4</v>
      </c>
      <c r="C844">
        <v>169.88</v>
      </c>
      <c r="D844">
        <f t="shared" si="26"/>
        <v>169.88</v>
      </c>
      <c r="E844" s="36">
        <f t="shared" si="27"/>
        <v>169.88000000000102</v>
      </c>
    </row>
    <row r="845" spans="1:5">
      <c r="A845">
        <v>42.47</v>
      </c>
      <c r="B845">
        <v>2</v>
      </c>
      <c r="C845">
        <v>84.94</v>
      </c>
      <c r="D845">
        <f t="shared" si="26"/>
        <v>84.94</v>
      </c>
      <c r="E845" s="36">
        <f t="shared" si="27"/>
        <v>84.940000000001135</v>
      </c>
    </row>
    <row r="846" spans="1:5">
      <c r="A846">
        <v>42.47</v>
      </c>
      <c r="B846">
        <v>4</v>
      </c>
      <c r="C846">
        <v>169.88</v>
      </c>
      <c r="D846">
        <f t="shared" si="26"/>
        <v>169.88</v>
      </c>
      <c r="E846" s="36">
        <f t="shared" si="27"/>
        <v>169.88000000000102</v>
      </c>
    </row>
    <row r="847" spans="1:5">
      <c r="A847">
        <v>41.96</v>
      </c>
      <c r="B847">
        <v>1</v>
      </c>
      <c r="C847">
        <v>41.96</v>
      </c>
      <c r="D847">
        <f t="shared" si="26"/>
        <v>41.96</v>
      </c>
      <c r="E847" s="36">
        <f t="shared" si="27"/>
        <v>41.960000000001195</v>
      </c>
    </row>
    <row r="848" spans="1:5">
      <c r="A848">
        <v>41.44</v>
      </c>
      <c r="B848">
        <v>4</v>
      </c>
      <c r="C848">
        <v>165.76</v>
      </c>
      <c r="D848">
        <f t="shared" si="26"/>
        <v>165.76</v>
      </c>
      <c r="E848" s="36">
        <f t="shared" si="27"/>
        <v>165.76000000000101</v>
      </c>
    </row>
    <row r="849" spans="1:5">
      <c r="A849">
        <v>41.19</v>
      </c>
      <c r="B849">
        <v>4</v>
      </c>
      <c r="C849">
        <v>164.76</v>
      </c>
      <c r="D849">
        <f t="shared" si="26"/>
        <v>164.76</v>
      </c>
      <c r="E849" s="36">
        <f t="shared" si="27"/>
        <v>164.76000000000101</v>
      </c>
    </row>
    <row r="850" spans="1:5">
      <c r="A850">
        <v>41.19</v>
      </c>
      <c r="B850">
        <v>3</v>
      </c>
      <c r="C850">
        <v>123.57</v>
      </c>
      <c r="D850">
        <f t="shared" si="26"/>
        <v>123.57</v>
      </c>
      <c r="E850" s="36">
        <f t="shared" si="27"/>
        <v>123.57000000000107</v>
      </c>
    </row>
    <row r="851" spans="1:5">
      <c r="A851">
        <v>41.19</v>
      </c>
      <c r="B851">
        <v>5</v>
      </c>
      <c r="C851">
        <v>205.95</v>
      </c>
      <c r="D851">
        <f t="shared" si="26"/>
        <v>205.95</v>
      </c>
      <c r="E851" s="36">
        <f t="shared" si="27"/>
        <v>205.95000000000095</v>
      </c>
    </row>
    <row r="852" spans="1:5">
      <c r="A852">
        <v>41.18</v>
      </c>
      <c r="B852">
        <v>1</v>
      </c>
      <c r="C852">
        <v>41.18</v>
      </c>
      <c r="D852">
        <f t="shared" si="26"/>
        <v>41.18</v>
      </c>
      <c r="E852" s="36">
        <f t="shared" si="27"/>
        <v>41.180000000001193</v>
      </c>
    </row>
    <row r="853" spans="1:5">
      <c r="A853">
        <v>41.16</v>
      </c>
      <c r="B853">
        <v>2</v>
      </c>
      <c r="C853">
        <v>82.32</v>
      </c>
      <c r="D853">
        <f t="shared" si="26"/>
        <v>82.32</v>
      </c>
      <c r="E853" s="36">
        <f t="shared" si="27"/>
        <v>82.32000000000113</v>
      </c>
    </row>
    <row r="854" spans="1:5">
      <c r="A854">
        <v>41.11</v>
      </c>
      <c r="B854">
        <v>2</v>
      </c>
      <c r="C854">
        <v>82.22</v>
      </c>
      <c r="D854">
        <f t="shared" si="26"/>
        <v>82.22</v>
      </c>
      <c r="E854" s="36">
        <f t="shared" si="27"/>
        <v>82.220000000001136</v>
      </c>
    </row>
    <row r="855" spans="1:5">
      <c r="A855">
        <v>40.93</v>
      </c>
      <c r="B855">
        <v>3</v>
      </c>
      <c r="C855">
        <v>122.78999999999999</v>
      </c>
      <c r="D855">
        <f t="shared" si="26"/>
        <v>122.78999999999999</v>
      </c>
      <c r="E855" s="36">
        <f t="shared" si="27"/>
        <v>122.79000000000107</v>
      </c>
    </row>
    <row r="856" spans="1:5">
      <c r="A856">
        <v>40.93</v>
      </c>
      <c r="B856">
        <v>4</v>
      </c>
      <c r="C856">
        <v>163.72</v>
      </c>
      <c r="D856">
        <f t="shared" si="26"/>
        <v>163.72</v>
      </c>
      <c r="E856" s="36">
        <f t="shared" si="27"/>
        <v>163.72000000000102</v>
      </c>
    </row>
    <row r="857" spans="1:5">
      <c r="A857">
        <v>40.93</v>
      </c>
      <c r="B857">
        <v>3</v>
      </c>
      <c r="C857">
        <v>122.78999999999999</v>
      </c>
      <c r="D857">
        <f t="shared" si="26"/>
        <v>122.78999999999999</v>
      </c>
      <c r="E857" s="36">
        <f t="shared" si="27"/>
        <v>122.79000000000107</v>
      </c>
    </row>
    <row r="858" spans="1:5">
      <c r="A858">
        <v>40.93</v>
      </c>
      <c r="B858">
        <v>2</v>
      </c>
      <c r="C858">
        <v>81.86</v>
      </c>
      <c r="D858">
        <f t="shared" si="26"/>
        <v>81.86</v>
      </c>
      <c r="E858" s="36">
        <f t="shared" si="27"/>
        <v>81.860000000001136</v>
      </c>
    </row>
    <row r="859" spans="1:5">
      <c r="A859">
        <v>40.9</v>
      </c>
      <c r="B859">
        <v>5</v>
      </c>
      <c r="C859">
        <v>204.5</v>
      </c>
      <c r="D859">
        <f t="shared" si="26"/>
        <v>204.5</v>
      </c>
      <c r="E859" s="36">
        <f t="shared" si="27"/>
        <v>204.50000000000097</v>
      </c>
    </row>
    <row r="860" spans="1:5">
      <c r="A860">
        <v>40.159999999999997</v>
      </c>
      <c r="B860">
        <v>5</v>
      </c>
      <c r="C860">
        <v>200.79999999999998</v>
      </c>
      <c r="D860">
        <f t="shared" si="26"/>
        <v>200.79999999999998</v>
      </c>
      <c r="E860" s="36">
        <f t="shared" si="27"/>
        <v>200.80000000000098</v>
      </c>
    </row>
    <row r="861" spans="1:5">
      <c r="A861">
        <v>40.090000000000003</v>
      </c>
      <c r="B861">
        <v>3</v>
      </c>
      <c r="C861">
        <v>120.27000000000001</v>
      </c>
      <c r="D861">
        <f t="shared" si="26"/>
        <v>120.27000000000001</v>
      </c>
      <c r="E861" s="36">
        <f t="shared" si="27"/>
        <v>120.2700000000011</v>
      </c>
    </row>
    <row r="862" spans="1:5">
      <c r="A862">
        <v>40.090000000000003</v>
      </c>
      <c r="B862">
        <v>3</v>
      </c>
      <c r="C862">
        <v>120.27000000000001</v>
      </c>
      <c r="D862">
        <f t="shared" si="26"/>
        <v>120.27000000000001</v>
      </c>
      <c r="E862" s="36">
        <f t="shared" si="27"/>
        <v>120.2700000000011</v>
      </c>
    </row>
    <row r="863" spans="1:5">
      <c r="A863">
        <v>40.090000000000003</v>
      </c>
      <c r="B863">
        <v>4</v>
      </c>
      <c r="C863">
        <v>160.36000000000001</v>
      </c>
      <c r="D863">
        <f t="shared" si="26"/>
        <v>160.36000000000001</v>
      </c>
      <c r="E863" s="36">
        <f t="shared" si="27"/>
        <v>160.36000000000104</v>
      </c>
    </row>
    <row r="864" spans="1:5">
      <c r="A864">
        <v>39.9</v>
      </c>
      <c r="B864">
        <v>4</v>
      </c>
      <c r="C864">
        <v>159.6</v>
      </c>
      <c r="D864">
        <f t="shared" si="26"/>
        <v>159.6</v>
      </c>
      <c r="E864" s="36">
        <f t="shared" si="27"/>
        <v>159.60000000000105</v>
      </c>
    </row>
    <row r="865" spans="1:5">
      <c r="A865">
        <v>39.380000000000003</v>
      </c>
      <c r="B865">
        <v>2</v>
      </c>
      <c r="C865">
        <v>78.760000000000005</v>
      </c>
      <c r="D865">
        <f t="shared" si="26"/>
        <v>78.760000000000005</v>
      </c>
      <c r="E865" s="36">
        <f t="shared" si="27"/>
        <v>78.760000000001156</v>
      </c>
    </row>
    <row r="866" spans="1:5">
      <c r="A866">
        <v>39.380000000000003</v>
      </c>
      <c r="B866">
        <v>3</v>
      </c>
      <c r="C866">
        <v>118.14000000000001</v>
      </c>
      <c r="D866">
        <f t="shared" si="26"/>
        <v>118.14000000000001</v>
      </c>
      <c r="E866" s="36">
        <f t="shared" si="27"/>
        <v>118.14000000000111</v>
      </c>
    </row>
    <row r="867" spans="1:5">
      <c r="A867">
        <v>39.380000000000003</v>
      </c>
      <c r="B867">
        <v>2</v>
      </c>
      <c r="C867">
        <v>78.760000000000005</v>
      </c>
      <c r="D867">
        <f t="shared" si="26"/>
        <v>78.760000000000005</v>
      </c>
      <c r="E867" s="36">
        <f t="shared" si="27"/>
        <v>78.760000000001156</v>
      </c>
    </row>
    <row r="868" spans="1:5">
      <c r="A868">
        <v>39.380000000000003</v>
      </c>
      <c r="B868">
        <v>3</v>
      </c>
      <c r="C868">
        <v>118.14000000000001</v>
      </c>
      <c r="D868">
        <f t="shared" si="26"/>
        <v>118.14000000000001</v>
      </c>
      <c r="E868" s="36">
        <f t="shared" si="27"/>
        <v>118.14000000000111</v>
      </c>
    </row>
    <row r="869" spans="1:5">
      <c r="A869">
        <v>39.380000000000003</v>
      </c>
      <c r="B869">
        <v>1</v>
      </c>
      <c r="C869">
        <v>39.380000000000003</v>
      </c>
      <c r="D869">
        <f t="shared" si="26"/>
        <v>39.380000000000003</v>
      </c>
      <c r="E869" s="36">
        <f t="shared" si="27"/>
        <v>39.380000000001203</v>
      </c>
    </row>
    <row r="870" spans="1:5">
      <c r="A870">
        <v>39.380000000000003</v>
      </c>
      <c r="B870">
        <v>5</v>
      </c>
      <c r="C870">
        <v>196.9</v>
      </c>
      <c r="D870">
        <f t="shared" si="26"/>
        <v>196.9</v>
      </c>
      <c r="E870" s="36">
        <f t="shared" si="27"/>
        <v>196.900000000001</v>
      </c>
    </row>
    <row r="871" spans="1:5">
      <c r="A871">
        <v>39.36</v>
      </c>
      <c r="B871">
        <v>5</v>
      </c>
      <c r="C871">
        <v>196.8</v>
      </c>
      <c r="D871">
        <f t="shared" si="26"/>
        <v>196.8</v>
      </c>
      <c r="E871" s="36">
        <f t="shared" si="27"/>
        <v>196.80000000000101</v>
      </c>
    </row>
    <row r="872" spans="1:5">
      <c r="A872">
        <v>39.299999999999997</v>
      </c>
      <c r="B872">
        <v>4</v>
      </c>
      <c r="C872">
        <v>157.19999999999999</v>
      </c>
      <c r="D872">
        <f t="shared" si="26"/>
        <v>157.19999999999999</v>
      </c>
      <c r="E872" s="36">
        <f t="shared" si="27"/>
        <v>157.20000000000104</v>
      </c>
    </row>
    <row r="873" spans="1:5">
      <c r="A873">
        <v>39.25</v>
      </c>
      <c r="B873">
        <v>5</v>
      </c>
      <c r="C873">
        <v>196.25</v>
      </c>
      <c r="D873">
        <f t="shared" si="26"/>
        <v>196.25</v>
      </c>
      <c r="E873" s="36">
        <f t="shared" si="27"/>
        <v>196.25000000000099</v>
      </c>
    </row>
    <row r="874" spans="1:5">
      <c r="A874">
        <v>38.869999999999997</v>
      </c>
      <c r="B874">
        <v>5</v>
      </c>
      <c r="C874">
        <v>194.35</v>
      </c>
      <c r="D874">
        <f t="shared" si="26"/>
        <v>194.35</v>
      </c>
      <c r="E874" s="36">
        <f t="shared" si="27"/>
        <v>194.35000000000099</v>
      </c>
    </row>
    <row r="875" spans="1:5">
      <c r="A875">
        <v>38.590000000000003</v>
      </c>
      <c r="B875">
        <v>3</v>
      </c>
      <c r="C875">
        <v>115.77000000000001</v>
      </c>
      <c r="D875">
        <f t="shared" si="26"/>
        <v>115.77000000000001</v>
      </c>
      <c r="E875" s="36">
        <f t="shared" si="27"/>
        <v>115.7700000000011</v>
      </c>
    </row>
    <row r="876" spans="1:5">
      <c r="A876">
        <v>38.35</v>
      </c>
      <c r="B876">
        <v>5</v>
      </c>
      <c r="C876">
        <v>191.75</v>
      </c>
      <c r="D876">
        <f t="shared" si="26"/>
        <v>191.75</v>
      </c>
      <c r="E876" s="36">
        <f t="shared" si="27"/>
        <v>191.75000000000099</v>
      </c>
    </row>
    <row r="877" spans="1:5">
      <c r="A877">
        <v>38.35</v>
      </c>
      <c r="B877">
        <v>4</v>
      </c>
      <c r="C877">
        <v>153.4</v>
      </c>
      <c r="D877">
        <f t="shared" si="26"/>
        <v>153.4</v>
      </c>
      <c r="E877" s="36">
        <f t="shared" si="27"/>
        <v>153.40000000000106</v>
      </c>
    </row>
    <row r="878" spans="1:5">
      <c r="A878">
        <v>38.35</v>
      </c>
      <c r="B878">
        <v>2</v>
      </c>
      <c r="C878">
        <v>76.7</v>
      </c>
      <c r="D878">
        <f t="shared" si="26"/>
        <v>76.7</v>
      </c>
      <c r="E878" s="36">
        <f t="shared" si="27"/>
        <v>76.700000000001154</v>
      </c>
    </row>
    <row r="879" spans="1:5">
      <c r="A879">
        <v>38.35</v>
      </c>
      <c r="B879">
        <v>2</v>
      </c>
      <c r="C879">
        <v>76.7</v>
      </c>
      <c r="D879">
        <f t="shared" si="26"/>
        <v>76.7</v>
      </c>
      <c r="E879" s="36">
        <f t="shared" si="27"/>
        <v>76.700000000001154</v>
      </c>
    </row>
    <row r="880" spans="1:5">
      <c r="A880">
        <v>38.35</v>
      </c>
      <c r="B880">
        <v>5</v>
      </c>
      <c r="C880">
        <v>191.75</v>
      </c>
      <c r="D880">
        <f t="shared" si="26"/>
        <v>191.75</v>
      </c>
      <c r="E880" s="36">
        <f t="shared" si="27"/>
        <v>191.75000000000099</v>
      </c>
    </row>
    <row r="881" spans="1:5">
      <c r="A881">
        <v>38.28</v>
      </c>
      <c r="B881">
        <v>3</v>
      </c>
      <c r="C881">
        <v>114.84</v>
      </c>
      <c r="D881">
        <f t="shared" si="26"/>
        <v>114.84</v>
      </c>
      <c r="E881" s="36">
        <f t="shared" si="27"/>
        <v>114.8400000000011</v>
      </c>
    </row>
    <row r="882" spans="1:5">
      <c r="A882">
        <v>38.19</v>
      </c>
      <c r="B882">
        <v>4</v>
      </c>
      <c r="C882">
        <v>152.76</v>
      </c>
      <c r="D882">
        <f t="shared" si="26"/>
        <v>152.76</v>
      </c>
      <c r="E882" s="36">
        <f t="shared" si="27"/>
        <v>152.76000000000104</v>
      </c>
    </row>
    <row r="883" spans="1:5">
      <c r="A883">
        <v>38.1</v>
      </c>
      <c r="B883">
        <v>3</v>
      </c>
      <c r="C883">
        <v>114.30000000000001</v>
      </c>
      <c r="D883">
        <f t="shared" si="26"/>
        <v>114.30000000000001</v>
      </c>
      <c r="E883" s="36">
        <f t="shared" si="27"/>
        <v>114.30000000000111</v>
      </c>
    </row>
    <row r="884" spans="1:5">
      <c r="A884">
        <v>37.07</v>
      </c>
      <c r="B884">
        <v>4</v>
      </c>
      <c r="C884">
        <v>148.28</v>
      </c>
      <c r="D884">
        <f t="shared" si="26"/>
        <v>148.28</v>
      </c>
      <c r="E884" s="36">
        <f t="shared" si="27"/>
        <v>148.28000000000105</v>
      </c>
    </row>
    <row r="885" spans="1:5">
      <c r="A885">
        <v>36.81</v>
      </c>
      <c r="B885">
        <v>2</v>
      </c>
      <c r="C885">
        <v>73.62</v>
      </c>
      <c r="D885">
        <f t="shared" si="26"/>
        <v>73.62</v>
      </c>
      <c r="E885" s="36">
        <f t="shared" si="27"/>
        <v>73.620000000001156</v>
      </c>
    </row>
    <row r="886" spans="1:5">
      <c r="A886">
        <v>36.29</v>
      </c>
      <c r="B886">
        <v>4</v>
      </c>
      <c r="C886">
        <v>145.16</v>
      </c>
      <c r="D886">
        <f t="shared" si="26"/>
        <v>145.16</v>
      </c>
      <c r="E886" s="36">
        <f t="shared" si="27"/>
        <v>145.16000000000105</v>
      </c>
    </row>
    <row r="887" spans="1:5">
      <c r="A887">
        <v>36.07</v>
      </c>
      <c r="B887">
        <v>2</v>
      </c>
      <c r="C887">
        <v>72.14</v>
      </c>
      <c r="D887">
        <f t="shared" si="26"/>
        <v>72.14</v>
      </c>
      <c r="E887" s="36">
        <f t="shared" si="27"/>
        <v>72.140000000001152</v>
      </c>
    </row>
    <row r="888" spans="1:5">
      <c r="A888">
        <v>36.01</v>
      </c>
      <c r="B888">
        <v>5</v>
      </c>
      <c r="C888">
        <v>180.04999999999998</v>
      </c>
      <c r="D888">
        <f t="shared" si="26"/>
        <v>180.04999999999998</v>
      </c>
      <c r="E888" s="36">
        <f t="shared" si="27"/>
        <v>180.05000000000101</v>
      </c>
    </row>
    <row r="889" spans="1:5">
      <c r="A889">
        <v>35.78</v>
      </c>
      <c r="B889">
        <v>1</v>
      </c>
      <c r="C889">
        <v>35.78</v>
      </c>
      <c r="D889">
        <f t="shared" si="26"/>
        <v>35.78</v>
      </c>
      <c r="E889" s="36">
        <f t="shared" si="27"/>
        <v>35.780000000001202</v>
      </c>
    </row>
    <row r="890" spans="1:5">
      <c r="A890">
        <v>35.26</v>
      </c>
      <c r="B890">
        <v>4</v>
      </c>
      <c r="C890">
        <v>141.04</v>
      </c>
      <c r="D890">
        <f t="shared" si="26"/>
        <v>141.04</v>
      </c>
      <c r="E890" s="36">
        <f t="shared" si="27"/>
        <v>141.04000000000104</v>
      </c>
    </row>
    <row r="891" spans="1:5">
      <c r="A891">
        <v>35.24</v>
      </c>
      <c r="B891">
        <v>2</v>
      </c>
      <c r="C891">
        <v>70.48</v>
      </c>
      <c r="D891">
        <f t="shared" si="26"/>
        <v>70.48</v>
      </c>
      <c r="E891" s="36">
        <f t="shared" si="27"/>
        <v>70.480000000001155</v>
      </c>
    </row>
    <row r="892" spans="1:5">
      <c r="A892">
        <v>34.96</v>
      </c>
      <c r="B892">
        <v>3</v>
      </c>
      <c r="C892">
        <v>104.88</v>
      </c>
      <c r="D892">
        <f t="shared" si="26"/>
        <v>104.88</v>
      </c>
      <c r="E892" s="36">
        <f t="shared" si="27"/>
        <v>104.8800000000011</v>
      </c>
    </row>
    <row r="893" spans="1:5">
      <c r="A893">
        <v>34.75</v>
      </c>
      <c r="B893">
        <v>4</v>
      </c>
      <c r="C893">
        <v>139</v>
      </c>
      <c r="D893">
        <f t="shared" si="26"/>
        <v>139</v>
      </c>
      <c r="E893" s="36">
        <f t="shared" si="27"/>
        <v>139.00000000000105</v>
      </c>
    </row>
    <row r="894" spans="1:5">
      <c r="A894">
        <v>34.75</v>
      </c>
      <c r="B894">
        <v>5</v>
      </c>
      <c r="C894">
        <v>173.75</v>
      </c>
      <c r="D894">
        <f t="shared" si="26"/>
        <v>173.75</v>
      </c>
      <c r="E894" s="36">
        <f t="shared" si="27"/>
        <v>173.75000000000102</v>
      </c>
    </row>
    <row r="895" spans="1:5">
      <c r="A895">
        <v>34.75</v>
      </c>
      <c r="B895">
        <v>2</v>
      </c>
      <c r="C895">
        <v>69.5</v>
      </c>
      <c r="D895">
        <f t="shared" si="26"/>
        <v>69.5</v>
      </c>
      <c r="E895" s="36">
        <f t="shared" si="27"/>
        <v>69.500000000001151</v>
      </c>
    </row>
    <row r="896" spans="1:5">
      <c r="A896">
        <v>34.75</v>
      </c>
      <c r="B896">
        <v>2</v>
      </c>
      <c r="C896">
        <v>69.5</v>
      </c>
      <c r="D896">
        <f t="shared" si="26"/>
        <v>69.5</v>
      </c>
      <c r="E896" s="36">
        <f t="shared" si="27"/>
        <v>69.500000000001151</v>
      </c>
    </row>
    <row r="897" spans="1:5">
      <c r="A897">
        <v>34.75</v>
      </c>
      <c r="B897">
        <v>2</v>
      </c>
      <c r="C897">
        <v>69.5</v>
      </c>
      <c r="D897">
        <f t="shared" si="26"/>
        <v>69.5</v>
      </c>
      <c r="E897" s="36">
        <f t="shared" si="27"/>
        <v>69.500000000001151</v>
      </c>
    </row>
    <row r="898" spans="1:5">
      <c r="A898">
        <v>34.75</v>
      </c>
      <c r="B898">
        <v>4</v>
      </c>
      <c r="C898">
        <v>139</v>
      </c>
      <c r="D898">
        <f t="shared" si="26"/>
        <v>139</v>
      </c>
      <c r="E898" s="36">
        <f t="shared" si="27"/>
        <v>139.00000000000105</v>
      </c>
    </row>
    <row r="899" spans="1:5">
      <c r="A899">
        <v>33.44</v>
      </c>
      <c r="B899">
        <v>3</v>
      </c>
      <c r="C899">
        <v>100.32</v>
      </c>
      <c r="D899">
        <f t="shared" ref="D899:D962" si="28">A899*B899</f>
        <v>100.32</v>
      </c>
      <c r="E899" s="36">
        <f t="shared" ref="E899:E962" si="29">$G$7 * D899 + $H$7</f>
        <v>100.32000000000112</v>
      </c>
    </row>
    <row r="900" spans="1:5">
      <c r="A900">
        <v>33.21</v>
      </c>
      <c r="B900">
        <v>2</v>
      </c>
      <c r="C900">
        <v>66.42</v>
      </c>
      <c r="D900">
        <f t="shared" si="28"/>
        <v>66.42</v>
      </c>
      <c r="E900" s="36">
        <f t="shared" si="29"/>
        <v>66.420000000001167</v>
      </c>
    </row>
    <row r="901" spans="1:5">
      <c r="A901">
        <v>32.869999999999997</v>
      </c>
      <c r="B901">
        <v>5</v>
      </c>
      <c r="C901">
        <v>164.35</v>
      </c>
      <c r="D901">
        <f t="shared" si="28"/>
        <v>164.35</v>
      </c>
      <c r="E901" s="36">
        <f t="shared" si="29"/>
        <v>164.35000000000102</v>
      </c>
    </row>
    <row r="902" spans="1:5">
      <c r="A902">
        <v>32.69</v>
      </c>
      <c r="B902">
        <v>2</v>
      </c>
      <c r="C902">
        <v>65.38</v>
      </c>
      <c r="D902">
        <f t="shared" si="28"/>
        <v>65.38</v>
      </c>
      <c r="E902" s="36">
        <f t="shared" si="29"/>
        <v>65.380000000001161</v>
      </c>
    </row>
    <row r="903" spans="1:5">
      <c r="A903">
        <v>32.69</v>
      </c>
      <c r="B903">
        <v>2</v>
      </c>
      <c r="C903">
        <v>65.38</v>
      </c>
      <c r="D903">
        <f t="shared" si="28"/>
        <v>65.38</v>
      </c>
      <c r="E903" s="36">
        <f t="shared" si="29"/>
        <v>65.380000000001161</v>
      </c>
    </row>
    <row r="904" spans="1:5">
      <c r="A904">
        <v>32.5</v>
      </c>
      <c r="B904">
        <v>4</v>
      </c>
      <c r="C904">
        <v>130</v>
      </c>
      <c r="D904">
        <f t="shared" si="28"/>
        <v>130</v>
      </c>
      <c r="E904" s="36">
        <f t="shared" si="29"/>
        <v>130.00000000000108</v>
      </c>
    </row>
    <row r="905" spans="1:5">
      <c r="A905">
        <v>32.18</v>
      </c>
      <c r="B905">
        <v>5</v>
      </c>
      <c r="C905">
        <v>160.9</v>
      </c>
      <c r="D905">
        <f t="shared" si="28"/>
        <v>160.9</v>
      </c>
      <c r="E905" s="36">
        <f t="shared" si="29"/>
        <v>160.90000000000103</v>
      </c>
    </row>
    <row r="906" spans="1:5">
      <c r="A906">
        <v>32.17</v>
      </c>
      <c r="B906">
        <v>3</v>
      </c>
      <c r="C906">
        <v>96.51</v>
      </c>
      <c r="D906">
        <f t="shared" si="28"/>
        <v>96.51</v>
      </c>
      <c r="E906" s="36">
        <f t="shared" si="29"/>
        <v>96.510000000001128</v>
      </c>
    </row>
    <row r="907" spans="1:5">
      <c r="A907">
        <v>31.92</v>
      </c>
      <c r="B907">
        <v>3</v>
      </c>
      <c r="C907">
        <v>95.76</v>
      </c>
      <c r="D907">
        <f t="shared" si="28"/>
        <v>95.76</v>
      </c>
      <c r="E907" s="36">
        <f t="shared" si="29"/>
        <v>95.760000000001128</v>
      </c>
    </row>
    <row r="908" spans="1:5">
      <c r="A908">
        <v>31.91</v>
      </c>
      <c r="B908">
        <v>2</v>
      </c>
      <c r="C908">
        <v>63.82</v>
      </c>
      <c r="D908">
        <f t="shared" si="28"/>
        <v>63.82</v>
      </c>
      <c r="E908" s="36">
        <f t="shared" si="29"/>
        <v>63.820000000001166</v>
      </c>
    </row>
    <row r="909" spans="1:5">
      <c r="A909">
        <v>30.89</v>
      </c>
      <c r="B909">
        <v>5</v>
      </c>
      <c r="C909">
        <v>154.44999999999999</v>
      </c>
      <c r="D909">
        <f t="shared" si="28"/>
        <v>154.44999999999999</v>
      </c>
      <c r="E909" s="36">
        <f t="shared" si="29"/>
        <v>154.45000000000104</v>
      </c>
    </row>
    <row r="910" spans="1:5">
      <c r="A910">
        <v>64.02</v>
      </c>
      <c r="B910">
        <v>3</v>
      </c>
      <c r="C910">
        <v>192.06</v>
      </c>
      <c r="D910">
        <f t="shared" si="28"/>
        <v>192.06</v>
      </c>
      <c r="E910" s="36">
        <f t="shared" si="29"/>
        <v>192.060000000001</v>
      </c>
    </row>
    <row r="911" spans="1:5">
      <c r="A911">
        <v>64.02</v>
      </c>
      <c r="B911">
        <v>1</v>
      </c>
      <c r="C911">
        <v>64.02</v>
      </c>
      <c r="D911">
        <f t="shared" si="28"/>
        <v>64.02</v>
      </c>
      <c r="E911" s="36">
        <f t="shared" si="29"/>
        <v>64.020000000001161</v>
      </c>
    </row>
    <row r="912" spans="1:5">
      <c r="A912">
        <v>30.76</v>
      </c>
      <c r="B912">
        <v>1</v>
      </c>
      <c r="C912">
        <v>30.76</v>
      </c>
      <c r="D912">
        <f t="shared" si="28"/>
        <v>30.76</v>
      </c>
      <c r="E912" s="36">
        <f t="shared" si="29"/>
        <v>30.760000000001209</v>
      </c>
    </row>
    <row r="913" spans="1:5">
      <c r="A913">
        <v>30.37</v>
      </c>
      <c r="B913">
        <v>5</v>
      </c>
      <c r="C913">
        <v>151.85</v>
      </c>
      <c r="D913">
        <f t="shared" si="28"/>
        <v>151.85</v>
      </c>
      <c r="E913" s="36">
        <f t="shared" si="29"/>
        <v>151.85000000000105</v>
      </c>
    </row>
    <row r="914" spans="1:5">
      <c r="A914">
        <v>30.36</v>
      </c>
      <c r="B914">
        <v>5</v>
      </c>
      <c r="C914">
        <v>151.80000000000001</v>
      </c>
      <c r="D914">
        <f t="shared" si="28"/>
        <v>151.80000000000001</v>
      </c>
      <c r="E914" s="36">
        <f t="shared" si="29"/>
        <v>151.80000000000106</v>
      </c>
    </row>
    <row r="915" spans="1:5">
      <c r="A915">
        <v>30.34</v>
      </c>
      <c r="B915">
        <v>5</v>
      </c>
      <c r="C915">
        <v>151.69999999999999</v>
      </c>
      <c r="D915">
        <f t="shared" si="28"/>
        <v>151.69999999999999</v>
      </c>
      <c r="E915" s="36">
        <f t="shared" si="29"/>
        <v>151.70000000000104</v>
      </c>
    </row>
    <row r="916" spans="1:5">
      <c r="A916">
        <v>43.43</v>
      </c>
      <c r="B916">
        <v>5</v>
      </c>
      <c r="C916">
        <v>217.15</v>
      </c>
      <c r="D916">
        <f t="shared" si="28"/>
        <v>217.15</v>
      </c>
      <c r="E916" s="36">
        <f t="shared" si="29"/>
        <v>217.15000000000097</v>
      </c>
    </row>
    <row r="917" spans="1:5">
      <c r="A917">
        <v>29.6</v>
      </c>
      <c r="B917">
        <v>1</v>
      </c>
      <c r="C917">
        <v>29.6</v>
      </c>
      <c r="D917">
        <f t="shared" si="28"/>
        <v>29.6</v>
      </c>
      <c r="E917" s="36">
        <f t="shared" si="29"/>
        <v>29.600000000001213</v>
      </c>
    </row>
    <row r="918" spans="1:5">
      <c r="A918">
        <v>29.58</v>
      </c>
      <c r="B918">
        <v>5</v>
      </c>
      <c r="C918">
        <v>147.89999999999998</v>
      </c>
      <c r="D918">
        <f t="shared" si="28"/>
        <v>147.89999999999998</v>
      </c>
      <c r="E918" s="36">
        <f t="shared" si="29"/>
        <v>147.90000000000103</v>
      </c>
    </row>
    <row r="919" spans="1:5">
      <c r="A919">
        <v>29.58</v>
      </c>
      <c r="B919">
        <v>3</v>
      </c>
      <c r="C919">
        <v>88.74</v>
      </c>
      <c r="D919">
        <f t="shared" si="28"/>
        <v>88.74</v>
      </c>
      <c r="E919" s="36">
        <f t="shared" si="29"/>
        <v>88.740000000001132</v>
      </c>
    </row>
    <row r="920" spans="1:5">
      <c r="A920">
        <v>29.58</v>
      </c>
      <c r="B920">
        <v>2</v>
      </c>
      <c r="C920">
        <v>59.16</v>
      </c>
      <c r="D920">
        <f t="shared" si="28"/>
        <v>59.16</v>
      </c>
      <c r="E920" s="36">
        <f t="shared" si="29"/>
        <v>59.160000000001169</v>
      </c>
    </row>
    <row r="921" spans="1:5">
      <c r="A921">
        <v>29.58</v>
      </c>
      <c r="B921">
        <v>4</v>
      </c>
      <c r="C921">
        <v>118.32</v>
      </c>
      <c r="D921">
        <f t="shared" si="28"/>
        <v>118.32</v>
      </c>
      <c r="E921" s="36">
        <f t="shared" si="29"/>
        <v>118.32000000000109</v>
      </c>
    </row>
    <row r="922" spans="1:5">
      <c r="A922">
        <v>29.58</v>
      </c>
      <c r="B922">
        <v>5</v>
      </c>
      <c r="C922">
        <v>147.89999999999998</v>
      </c>
      <c r="D922">
        <f t="shared" si="28"/>
        <v>147.89999999999998</v>
      </c>
      <c r="E922" s="36">
        <f t="shared" si="29"/>
        <v>147.90000000000103</v>
      </c>
    </row>
    <row r="923" spans="1:5">
      <c r="A923">
        <v>29.58</v>
      </c>
      <c r="B923">
        <v>3</v>
      </c>
      <c r="C923">
        <v>88.74</v>
      </c>
      <c r="D923">
        <f t="shared" si="28"/>
        <v>88.74</v>
      </c>
      <c r="E923" s="36">
        <f t="shared" si="29"/>
        <v>88.740000000001132</v>
      </c>
    </row>
    <row r="924" spans="1:5">
      <c r="A924">
        <v>29.58</v>
      </c>
      <c r="B924">
        <v>3</v>
      </c>
      <c r="C924">
        <v>88.74</v>
      </c>
      <c r="D924">
        <f t="shared" si="28"/>
        <v>88.74</v>
      </c>
      <c r="E924" s="36">
        <f t="shared" si="29"/>
        <v>88.740000000001132</v>
      </c>
    </row>
    <row r="925" spans="1:5">
      <c r="A925">
        <v>29.58</v>
      </c>
      <c r="B925">
        <v>5</v>
      </c>
      <c r="C925">
        <v>147.89999999999998</v>
      </c>
      <c r="D925">
        <f t="shared" si="28"/>
        <v>147.89999999999998</v>
      </c>
      <c r="E925" s="36">
        <f t="shared" si="29"/>
        <v>147.90000000000103</v>
      </c>
    </row>
    <row r="926" spans="1:5">
      <c r="A926">
        <v>29.58</v>
      </c>
      <c r="B926">
        <v>4</v>
      </c>
      <c r="C926">
        <v>118.32</v>
      </c>
      <c r="D926">
        <f t="shared" si="28"/>
        <v>118.32</v>
      </c>
      <c r="E926" s="36">
        <f t="shared" si="29"/>
        <v>118.32000000000109</v>
      </c>
    </row>
    <row r="927" spans="1:5">
      <c r="A927">
        <v>29.58</v>
      </c>
      <c r="B927">
        <v>1</v>
      </c>
      <c r="C927">
        <v>29.58</v>
      </c>
      <c r="D927">
        <f t="shared" si="28"/>
        <v>29.58</v>
      </c>
      <c r="E927" s="36">
        <f t="shared" si="29"/>
        <v>29.58000000000121</v>
      </c>
    </row>
    <row r="928" spans="1:5">
      <c r="A928">
        <v>29.16</v>
      </c>
      <c r="B928">
        <v>5</v>
      </c>
      <c r="C928">
        <v>145.80000000000001</v>
      </c>
      <c r="D928">
        <f t="shared" si="28"/>
        <v>145.80000000000001</v>
      </c>
      <c r="E928" s="36">
        <f t="shared" si="29"/>
        <v>145.80000000000106</v>
      </c>
    </row>
    <row r="929" spans="1:5">
      <c r="A929">
        <v>28.29</v>
      </c>
      <c r="B929">
        <v>1</v>
      </c>
      <c r="C929">
        <v>28.29</v>
      </c>
      <c r="D929">
        <f t="shared" si="28"/>
        <v>28.29</v>
      </c>
      <c r="E929" s="36">
        <f t="shared" si="29"/>
        <v>28.290000000001211</v>
      </c>
    </row>
    <row r="930" spans="1:5">
      <c r="A930">
        <v>28.29</v>
      </c>
      <c r="B930">
        <v>4</v>
      </c>
      <c r="C930">
        <v>113.16</v>
      </c>
      <c r="D930">
        <f t="shared" si="28"/>
        <v>113.16</v>
      </c>
      <c r="E930" s="36">
        <f t="shared" si="29"/>
        <v>113.16000000000109</v>
      </c>
    </row>
    <row r="931" spans="1:5">
      <c r="A931">
        <v>28.29</v>
      </c>
      <c r="B931">
        <v>1</v>
      </c>
      <c r="C931">
        <v>28.29</v>
      </c>
      <c r="D931">
        <f t="shared" si="28"/>
        <v>28.29</v>
      </c>
      <c r="E931" s="36">
        <f t="shared" si="29"/>
        <v>28.290000000001211</v>
      </c>
    </row>
    <row r="932" spans="1:5">
      <c r="A932">
        <v>28</v>
      </c>
      <c r="B932">
        <v>5</v>
      </c>
      <c r="C932">
        <v>140</v>
      </c>
      <c r="D932">
        <f t="shared" si="28"/>
        <v>140</v>
      </c>
      <c r="E932" s="36">
        <f t="shared" si="29"/>
        <v>140.00000000000105</v>
      </c>
    </row>
    <row r="933" spans="1:5">
      <c r="A933">
        <v>25.71</v>
      </c>
      <c r="B933">
        <v>4</v>
      </c>
      <c r="C933">
        <v>102.84</v>
      </c>
      <c r="D933">
        <f t="shared" si="28"/>
        <v>102.84</v>
      </c>
      <c r="E933" s="36">
        <f t="shared" si="29"/>
        <v>102.84000000000111</v>
      </c>
    </row>
    <row r="934" spans="1:5">
      <c r="A934">
        <v>25.71</v>
      </c>
      <c r="B934">
        <v>1</v>
      </c>
      <c r="C934">
        <v>25.71</v>
      </c>
      <c r="D934">
        <f t="shared" si="28"/>
        <v>25.71</v>
      </c>
      <c r="E934" s="36">
        <f t="shared" si="29"/>
        <v>25.710000000001216</v>
      </c>
    </row>
    <row r="935" spans="1:5">
      <c r="A935">
        <v>25.71</v>
      </c>
      <c r="B935">
        <v>5</v>
      </c>
      <c r="C935">
        <v>128.55000000000001</v>
      </c>
      <c r="D935">
        <f t="shared" si="28"/>
        <v>128.55000000000001</v>
      </c>
      <c r="E935" s="36">
        <f t="shared" si="29"/>
        <v>128.55000000000109</v>
      </c>
    </row>
    <row r="936" spans="1:5">
      <c r="A936">
        <v>25.71</v>
      </c>
      <c r="B936">
        <v>3</v>
      </c>
      <c r="C936">
        <v>77.13</v>
      </c>
      <c r="D936">
        <f t="shared" si="28"/>
        <v>77.13</v>
      </c>
      <c r="E936" s="36">
        <f t="shared" si="29"/>
        <v>77.130000000001147</v>
      </c>
    </row>
    <row r="937" spans="1:5">
      <c r="A937">
        <v>25.71</v>
      </c>
      <c r="B937">
        <v>1</v>
      </c>
      <c r="C937">
        <v>25.71</v>
      </c>
      <c r="D937">
        <f t="shared" si="28"/>
        <v>25.71</v>
      </c>
      <c r="E937" s="36">
        <f t="shared" si="29"/>
        <v>25.710000000001216</v>
      </c>
    </row>
    <row r="938" spans="1:5">
      <c r="A938">
        <v>25.56</v>
      </c>
      <c r="B938">
        <v>1</v>
      </c>
      <c r="C938">
        <v>25.56</v>
      </c>
      <c r="D938">
        <f t="shared" si="28"/>
        <v>25.56</v>
      </c>
      <c r="E938" s="36">
        <f t="shared" si="29"/>
        <v>25.560000000001214</v>
      </c>
    </row>
    <row r="939" spans="1:5">
      <c r="A939">
        <v>25.48</v>
      </c>
      <c r="B939">
        <v>3</v>
      </c>
      <c r="C939">
        <v>76.44</v>
      </c>
      <c r="D939">
        <f t="shared" si="28"/>
        <v>76.44</v>
      </c>
      <c r="E939" s="36">
        <f t="shared" si="29"/>
        <v>76.440000000001149</v>
      </c>
    </row>
    <row r="940" spans="1:5">
      <c r="A940">
        <v>25.48</v>
      </c>
      <c r="B940">
        <v>1</v>
      </c>
      <c r="C940">
        <v>25.48</v>
      </c>
      <c r="D940">
        <f t="shared" si="28"/>
        <v>25.48</v>
      </c>
      <c r="E940" s="36">
        <f t="shared" si="29"/>
        <v>25.480000000001215</v>
      </c>
    </row>
    <row r="941" spans="1:5">
      <c r="A941">
        <v>24.63</v>
      </c>
      <c r="B941">
        <v>3</v>
      </c>
      <c r="C941">
        <v>73.89</v>
      </c>
      <c r="D941">
        <f t="shared" si="28"/>
        <v>73.89</v>
      </c>
      <c r="E941" s="36">
        <f t="shared" si="29"/>
        <v>73.890000000001152</v>
      </c>
    </row>
    <row r="942" spans="1:5">
      <c r="A942">
        <v>24.43</v>
      </c>
      <c r="B942">
        <v>2</v>
      </c>
      <c r="C942">
        <v>48.86</v>
      </c>
      <c r="D942">
        <f t="shared" si="28"/>
        <v>48.86</v>
      </c>
      <c r="E942" s="36">
        <f t="shared" si="29"/>
        <v>48.860000000001186</v>
      </c>
    </row>
    <row r="943" spans="1:5">
      <c r="A943">
        <v>23.12</v>
      </c>
      <c r="B943">
        <v>5</v>
      </c>
      <c r="C943">
        <v>115.60000000000001</v>
      </c>
      <c r="D943">
        <f t="shared" si="28"/>
        <v>115.60000000000001</v>
      </c>
      <c r="E943" s="36">
        <f t="shared" si="29"/>
        <v>115.6000000000011</v>
      </c>
    </row>
    <row r="944" spans="1:5">
      <c r="A944">
        <v>23.05</v>
      </c>
      <c r="B944">
        <v>5</v>
      </c>
      <c r="C944">
        <v>115.25</v>
      </c>
      <c r="D944">
        <f t="shared" si="28"/>
        <v>115.25</v>
      </c>
      <c r="E944" s="36">
        <f t="shared" si="29"/>
        <v>115.25000000000109</v>
      </c>
    </row>
    <row r="945" spans="1:5">
      <c r="A945">
        <v>22.91</v>
      </c>
      <c r="B945">
        <v>5</v>
      </c>
      <c r="C945">
        <v>114.55</v>
      </c>
      <c r="D945">
        <f t="shared" si="28"/>
        <v>114.55</v>
      </c>
      <c r="E945" s="36">
        <f t="shared" si="29"/>
        <v>114.55000000000109</v>
      </c>
    </row>
    <row r="946" spans="1:5">
      <c r="A946">
        <v>22.91</v>
      </c>
      <c r="B946">
        <v>3</v>
      </c>
      <c r="C946">
        <v>68.73</v>
      </c>
      <c r="D946">
        <f t="shared" si="28"/>
        <v>68.73</v>
      </c>
      <c r="E946" s="36">
        <f t="shared" si="29"/>
        <v>68.730000000001169</v>
      </c>
    </row>
    <row r="947" spans="1:5">
      <c r="A947">
        <v>29.86</v>
      </c>
      <c r="B947">
        <v>4</v>
      </c>
      <c r="C947">
        <v>119.44</v>
      </c>
      <c r="D947">
        <f t="shared" si="28"/>
        <v>119.44</v>
      </c>
      <c r="E947" s="36">
        <f t="shared" si="29"/>
        <v>119.44000000000109</v>
      </c>
    </row>
    <row r="948" spans="1:5">
      <c r="A948">
        <v>22.8</v>
      </c>
      <c r="B948">
        <v>3</v>
      </c>
      <c r="C948">
        <v>68.400000000000006</v>
      </c>
      <c r="D948">
        <f t="shared" si="28"/>
        <v>68.400000000000006</v>
      </c>
      <c r="E948" s="36">
        <f t="shared" si="29"/>
        <v>68.400000000001171</v>
      </c>
    </row>
    <row r="949" spans="1:5">
      <c r="A949">
        <v>22.8</v>
      </c>
      <c r="B949">
        <v>2</v>
      </c>
      <c r="C949">
        <v>45.6</v>
      </c>
      <c r="D949">
        <f t="shared" si="28"/>
        <v>45.6</v>
      </c>
      <c r="E949" s="36">
        <f t="shared" si="29"/>
        <v>45.600000000001188</v>
      </c>
    </row>
    <row r="950" spans="1:5">
      <c r="A950">
        <v>22.8</v>
      </c>
      <c r="B950">
        <v>2</v>
      </c>
      <c r="C950">
        <v>45.6</v>
      </c>
      <c r="D950">
        <f t="shared" si="28"/>
        <v>45.6</v>
      </c>
      <c r="E950" s="36">
        <f t="shared" si="29"/>
        <v>45.600000000001188</v>
      </c>
    </row>
    <row r="951" spans="1:5">
      <c r="A951">
        <v>22.8</v>
      </c>
      <c r="B951">
        <v>1</v>
      </c>
      <c r="C951">
        <v>22.8</v>
      </c>
      <c r="D951">
        <f t="shared" si="28"/>
        <v>22.8</v>
      </c>
      <c r="E951" s="36">
        <f t="shared" si="29"/>
        <v>22.800000000001219</v>
      </c>
    </row>
    <row r="952" spans="1:5">
      <c r="A952">
        <v>22.8</v>
      </c>
      <c r="B952">
        <v>4</v>
      </c>
      <c r="C952">
        <v>91.2</v>
      </c>
      <c r="D952">
        <f t="shared" si="28"/>
        <v>91.2</v>
      </c>
      <c r="E952" s="36">
        <f t="shared" si="29"/>
        <v>91.200000000001125</v>
      </c>
    </row>
    <row r="953" spans="1:5">
      <c r="A953">
        <v>22.8</v>
      </c>
      <c r="B953">
        <v>4</v>
      </c>
      <c r="C953">
        <v>91.2</v>
      </c>
      <c r="D953">
        <f t="shared" si="28"/>
        <v>91.2</v>
      </c>
      <c r="E953" s="36">
        <f t="shared" si="29"/>
        <v>91.200000000001125</v>
      </c>
    </row>
    <row r="954" spans="1:5">
      <c r="A954">
        <v>22.8</v>
      </c>
      <c r="B954">
        <v>1</v>
      </c>
      <c r="C954">
        <v>22.8</v>
      </c>
      <c r="D954">
        <f t="shared" si="28"/>
        <v>22.8</v>
      </c>
      <c r="E954" s="36">
        <f t="shared" si="29"/>
        <v>22.800000000001219</v>
      </c>
    </row>
    <row r="955" spans="1:5">
      <c r="A955">
        <v>22.8</v>
      </c>
      <c r="B955">
        <v>3</v>
      </c>
      <c r="C955">
        <v>68.400000000000006</v>
      </c>
      <c r="D955">
        <f t="shared" si="28"/>
        <v>68.400000000000006</v>
      </c>
      <c r="E955" s="36">
        <f t="shared" si="29"/>
        <v>68.400000000001171</v>
      </c>
    </row>
    <row r="956" spans="1:5">
      <c r="A956">
        <v>22.8</v>
      </c>
      <c r="B956">
        <v>1</v>
      </c>
      <c r="C956">
        <v>22.8</v>
      </c>
      <c r="D956">
        <f t="shared" si="28"/>
        <v>22.8</v>
      </c>
      <c r="E956" s="36">
        <f t="shared" si="29"/>
        <v>22.800000000001219</v>
      </c>
    </row>
    <row r="957" spans="1:5">
      <c r="A957">
        <v>22.2</v>
      </c>
      <c r="B957">
        <v>5</v>
      </c>
      <c r="C957">
        <v>111</v>
      </c>
      <c r="D957">
        <f t="shared" si="28"/>
        <v>111</v>
      </c>
      <c r="E957" s="36">
        <f t="shared" si="29"/>
        <v>111.00000000000111</v>
      </c>
    </row>
    <row r="958" spans="1:5">
      <c r="A958">
        <v>21.85</v>
      </c>
      <c r="B958">
        <v>1</v>
      </c>
      <c r="C958">
        <v>21.85</v>
      </c>
      <c r="D958">
        <f t="shared" si="28"/>
        <v>21.85</v>
      </c>
      <c r="E958" s="36">
        <f t="shared" si="29"/>
        <v>21.850000000001224</v>
      </c>
    </row>
    <row r="959" spans="1:5">
      <c r="A959">
        <v>21.6</v>
      </c>
      <c r="B959">
        <v>5</v>
      </c>
      <c r="C959">
        <v>108</v>
      </c>
      <c r="D959">
        <f t="shared" si="28"/>
        <v>108</v>
      </c>
      <c r="E959" s="36">
        <f t="shared" si="29"/>
        <v>108.00000000000111</v>
      </c>
    </row>
    <row r="960" spans="1:5">
      <c r="A960">
        <v>20.57</v>
      </c>
      <c r="B960">
        <v>1</v>
      </c>
      <c r="C960">
        <v>20.57</v>
      </c>
      <c r="D960">
        <f t="shared" si="28"/>
        <v>20.57</v>
      </c>
      <c r="E960" s="36">
        <f t="shared" si="29"/>
        <v>20.570000000001222</v>
      </c>
    </row>
    <row r="961" spans="1:5">
      <c r="A961">
        <v>20.57</v>
      </c>
      <c r="B961">
        <v>4</v>
      </c>
      <c r="C961">
        <v>82.28</v>
      </c>
      <c r="D961">
        <f t="shared" si="28"/>
        <v>82.28</v>
      </c>
      <c r="E961" s="36">
        <f t="shared" si="29"/>
        <v>82.280000000001138</v>
      </c>
    </row>
    <row r="962" spans="1:5">
      <c r="A962">
        <v>20.34</v>
      </c>
      <c r="B962">
        <v>2</v>
      </c>
      <c r="C962">
        <v>40.68</v>
      </c>
      <c r="D962">
        <f t="shared" si="28"/>
        <v>40.68</v>
      </c>
      <c r="E962" s="36">
        <f t="shared" si="29"/>
        <v>40.680000000001193</v>
      </c>
    </row>
    <row r="963" spans="1:5">
      <c r="A963">
        <v>20.05</v>
      </c>
      <c r="B963">
        <v>1</v>
      </c>
      <c r="C963">
        <v>20.05</v>
      </c>
      <c r="D963">
        <f t="shared" ref="D963:D994" si="30">A963*B963</f>
        <v>20.05</v>
      </c>
      <c r="E963" s="36">
        <f t="shared" ref="E963:E994" si="31">$G$7 * D963 + $H$7</f>
        <v>20.050000000001223</v>
      </c>
    </row>
    <row r="964" spans="1:5">
      <c r="A964">
        <v>18.87</v>
      </c>
      <c r="B964">
        <v>4</v>
      </c>
      <c r="C964">
        <v>75.48</v>
      </c>
      <c r="D964">
        <f t="shared" si="30"/>
        <v>75.48</v>
      </c>
      <c r="E964" s="36">
        <f t="shared" si="31"/>
        <v>75.480000000001155</v>
      </c>
    </row>
    <row r="965" spans="1:5">
      <c r="A965">
        <v>18.53</v>
      </c>
      <c r="B965">
        <v>5</v>
      </c>
      <c r="C965">
        <v>92.65</v>
      </c>
      <c r="D965">
        <f t="shared" si="30"/>
        <v>92.65</v>
      </c>
      <c r="E965" s="36">
        <f t="shared" si="31"/>
        <v>92.650000000001128</v>
      </c>
    </row>
    <row r="966" spans="1:5">
      <c r="A966">
        <v>17.25</v>
      </c>
      <c r="B966">
        <v>4</v>
      </c>
      <c r="C966">
        <v>69</v>
      </c>
      <c r="D966">
        <f t="shared" si="30"/>
        <v>69</v>
      </c>
      <c r="E966" s="36">
        <f t="shared" si="31"/>
        <v>69.000000000001165</v>
      </c>
    </row>
    <row r="967" spans="1:5">
      <c r="A967">
        <v>17.149999999999999</v>
      </c>
      <c r="B967">
        <v>2</v>
      </c>
      <c r="C967">
        <v>34.299999999999997</v>
      </c>
      <c r="D967">
        <f t="shared" si="30"/>
        <v>34.299999999999997</v>
      </c>
      <c r="E967" s="36">
        <f t="shared" si="31"/>
        <v>34.300000000001205</v>
      </c>
    </row>
    <row r="968" spans="1:5">
      <c r="A968">
        <v>16.73</v>
      </c>
      <c r="B968">
        <v>5</v>
      </c>
      <c r="C968">
        <v>83.65</v>
      </c>
      <c r="D968">
        <f t="shared" si="30"/>
        <v>83.65</v>
      </c>
      <c r="E968" s="36">
        <f t="shared" si="31"/>
        <v>83.650000000001143</v>
      </c>
    </row>
    <row r="969" spans="1:5">
      <c r="A969">
        <v>16.41</v>
      </c>
      <c r="B969">
        <v>3</v>
      </c>
      <c r="C969">
        <v>49.230000000000004</v>
      </c>
      <c r="D969">
        <f t="shared" si="30"/>
        <v>49.230000000000004</v>
      </c>
      <c r="E969" s="36">
        <f t="shared" si="31"/>
        <v>49.230000000001191</v>
      </c>
    </row>
    <row r="970" spans="1:5">
      <c r="A970">
        <v>16.350000000000001</v>
      </c>
      <c r="B970">
        <v>3</v>
      </c>
      <c r="C970">
        <v>49.050000000000004</v>
      </c>
      <c r="D970">
        <f t="shared" si="30"/>
        <v>49.050000000000004</v>
      </c>
      <c r="E970" s="36">
        <f t="shared" si="31"/>
        <v>49.050000000001191</v>
      </c>
    </row>
    <row r="971" spans="1:5">
      <c r="A971">
        <v>15.42</v>
      </c>
      <c r="B971">
        <v>3</v>
      </c>
      <c r="C971">
        <v>46.26</v>
      </c>
      <c r="D971">
        <f t="shared" si="30"/>
        <v>46.26</v>
      </c>
      <c r="E971" s="36">
        <f t="shared" si="31"/>
        <v>46.260000000001185</v>
      </c>
    </row>
    <row r="972" spans="1:5">
      <c r="A972">
        <v>14.39</v>
      </c>
      <c r="B972">
        <v>2</v>
      </c>
      <c r="C972">
        <v>28.78</v>
      </c>
      <c r="D972">
        <f t="shared" si="30"/>
        <v>28.78</v>
      </c>
      <c r="E972" s="36">
        <f t="shared" si="31"/>
        <v>28.780000000001213</v>
      </c>
    </row>
    <row r="973" spans="1:5">
      <c r="A973">
        <v>13.3</v>
      </c>
      <c r="B973">
        <v>5</v>
      </c>
      <c r="C973">
        <v>66.5</v>
      </c>
      <c r="D973">
        <f t="shared" si="30"/>
        <v>66.5</v>
      </c>
      <c r="E973" s="36">
        <f t="shared" si="31"/>
        <v>66.500000000001165</v>
      </c>
    </row>
    <row r="974" spans="1:5">
      <c r="A974">
        <v>12.87</v>
      </c>
      <c r="B974">
        <v>3</v>
      </c>
      <c r="C974">
        <v>38.61</v>
      </c>
      <c r="D974">
        <f t="shared" si="30"/>
        <v>38.61</v>
      </c>
      <c r="E974" s="36">
        <f t="shared" si="31"/>
        <v>38.6100000000012</v>
      </c>
    </row>
    <row r="975" spans="1:5">
      <c r="A975">
        <v>12.84</v>
      </c>
      <c r="B975">
        <v>5</v>
      </c>
      <c r="C975">
        <v>64.2</v>
      </c>
      <c r="D975">
        <f t="shared" si="30"/>
        <v>64.2</v>
      </c>
      <c r="E975" s="36">
        <f t="shared" si="31"/>
        <v>64.200000000001168</v>
      </c>
    </row>
    <row r="976" spans="1:5">
      <c r="A976">
        <v>12.74</v>
      </c>
      <c r="B976">
        <v>5</v>
      </c>
      <c r="C976">
        <v>63.7</v>
      </c>
      <c r="D976">
        <f t="shared" si="30"/>
        <v>63.7</v>
      </c>
      <c r="E976" s="36">
        <f t="shared" si="31"/>
        <v>63.700000000001168</v>
      </c>
    </row>
    <row r="977" spans="1:5">
      <c r="A977">
        <v>12.47</v>
      </c>
      <c r="B977">
        <v>5</v>
      </c>
      <c r="C977">
        <v>62.35</v>
      </c>
      <c r="D977">
        <f t="shared" si="30"/>
        <v>62.35</v>
      </c>
      <c r="E977" s="36">
        <f t="shared" si="31"/>
        <v>62.350000000001167</v>
      </c>
    </row>
    <row r="978" spans="1:5">
      <c r="A978">
        <v>12.47</v>
      </c>
      <c r="B978">
        <v>5</v>
      </c>
      <c r="C978">
        <v>62.35</v>
      </c>
      <c r="D978">
        <f t="shared" si="30"/>
        <v>62.35</v>
      </c>
      <c r="E978" s="36">
        <f t="shared" si="31"/>
        <v>62.350000000001167</v>
      </c>
    </row>
    <row r="979" spans="1:5">
      <c r="A979">
        <v>11.56</v>
      </c>
      <c r="B979">
        <v>5</v>
      </c>
      <c r="C979">
        <v>57.800000000000004</v>
      </c>
      <c r="D979">
        <f t="shared" si="30"/>
        <v>57.800000000000004</v>
      </c>
      <c r="E979" s="36">
        <f t="shared" si="31"/>
        <v>57.800000000001177</v>
      </c>
    </row>
    <row r="980" spans="1:5">
      <c r="A980">
        <v>11.02</v>
      </c>
      <c r="B980">
        <v>5</v>
      </c>
      <c r="C980">
        <v>55.099999999999994</v>
      </c>
      <c r="D980">
        <f t="shared" si="30"/>
        <v>55.099999999999994</v>
      </c>
      <c r="E980" s="36">
        <f t="shared" si="31"/>
        <v>55.100000000001174</v>
      </c>
    </row>
    <row r="981" spans="1:5">
      <c r="A981">
        <v>10.81</v>
      </c>
      <c r="B981">
        <v>1</v>
      </c>
      <c r="C981">
        <v>10.81</v>
      </c>
      <c r="D981">
        <f t="shared" si="30"/>
        <v>10.81</v>
      </c>
      <c r="E981" s="36">
        <f t="shared" si="31"/>
        <v>10.810000000001237</v>
      </c>
    </row>
    <row r="982" spans="1:5">
      <c r="A982">
        <v>10.31</v>
      </c>
      <c r="B982">
        <v>4</v>
      </c>
      <c r="C982">
        <v>41.24</v>
      </c>
      <c r="D982">
        <f t="shared" si="30"/>
        <v>41.24</v>
      </c>
      <c r="E982" s="36">
        <f t="shared" si="31"/>
        <v>41.240000000001196</v>
      </c>
    </row>
    <row r="983" spans="1:5">
      <c r="A983">
        <v>9.27</v>
      </c>
      <c r="B983">
        <v>3</v>
      </c>
      <c r="C983">
        <v>27.81</v>
      </c>
      <c r="D983">
        <f t="shared" si="30"/>
        <v>27.81</v>
      </c>
      <c r="E983" s="36">
        <f t="shared" si="31"/>
        <v>27.810000000001214</v>
      </c>
    </row>
    <row r="984" spans="1:5">
      <c r="A984">
        <v>9.24</v>
      </c>
      <c r="B984">
        <v>1</v>
      </c>
      <c r="C984">
        <v>9.24</v>
      </c>
      <c r="D984">
        <f t="shared" si="30"/>
        <v>9.24</v>
      </c>
      <c r="E984" s="36">
        <f t="shared" si="31"/>
        <v>9.2400000000012383</v>
      </c>
    </row>
    <row r="985" spans="1:5">
      <c r="A985">
        <v>9.23</v>
      </c>
      <c r="B985">
        <v>2</v>
      </c>
      <c r="C985">
        <v>18.46</v>
      </c>
      <c r="D985">
        <f t="shared" si="30"/>
        <v>18.46</v>
      </c>
      <c r="E985" s="36">
        <f t="shared" si="31"/>
        <v>18.460000000001227</v>
      </c>
    </row>
    <row r="986" spans="1:5">
      <c r="A986">
        <v>8.49</v>
      </c>
      <c r="B986">
        <v>5</v>
      </c>
      <c r="C986">
        <v>42.45</v>
      </c>
      <c r="D986">
        <f t="shared" si="30"/>
        <v>42.45</v>
      </c>
      <c r="E986" s="36">
        <f t="shared" si="31"/>
        <v>42.450000000001197</v>
      </c>
    </row>
    <row r="987" spans="1:5">
      <c r="A987">
        <v>7.75</v>
      </c>
      <c r="B987">
        <v>3</v>
      </c>
      <c r="C987">
        <v>23.25</v>
      </c>
      <c r="D987">
        <f t="shared" si="30"/>
        <v>23.25</v>
      </c>
      <c r="E987" s="36">
        <f t="shared" si="31"/>
        <v>23.250000000001219</v>
      </c>
    </row>
    <row r="988" spans="1:5">
      <c r="A988">
        <v>7.72</v>
      </c>
      <c r="B988">
        <v>1</v>
      </c>
      <c r="C988">
        <v>7.72</v>
      </c>
      <c r="D988">
        <f t="shared" si="30"/>
        <v>7.72</v>
      </c>
      <c r="E988" s="36">
        <f t="shared" si="31"/>
        <v>7.7200000000012396</v>
      </c>
    </row>
    <row r="989" spans="1:5">
      <c r="A989">
        <v>7.72</v>
      </c>
      <c r="B989">
        <v>1</v>
      </c>
      <c r="C989">
        <v>7.72</v>
      </c>
      <c r="D989">
        <f t="shared" si="30"/>
        <v>7.72</v>
      </c>
      <c r="E989" s="36">
        <f t="shared" si="31"/>
        <v>7.7200000000012396</v>
      </c>
    </row>
    <row r="990" spans="1:5">
      <c r="A990">
        <v>7.7</v>
      </c>
      <c r="B990">
        <v>2</v>
      </c>
      <c r="C990">
        <v>15.4</v>
      </c>
      <c r="D990">
        <f t="shared" si="30"/>
        <v>15.4</v>
      </c>
      <c r="E990" s="36">
        <f t="shared" si="31"/>
        <v>15.40000000000123</v>
      </c>
    </row>
    <row r="991" spans="1:5">
      <c r="A991">
        <v>7.7</v>
      </c>
      <c r="B991">
        <v>3</v>
      </c>
      <c r="C991">
        <v>23.1</v>
      </c>
      <c r="D991">
        <f t="shared" si="30"/>
        <v>23.1</v>
      </c>
      <c r="E991" s="36">
        <f t="shared" si="31"/>
        <v>23.10000000000122</v>
      </c>
    </row>
    <row r="992" spans="1:5">
      <c r="A992">
        <v>7.7</v>
      </c>
      <c r="B992">
        <v>4</v>
      </c>
      <c r="C992">
        <v>30.8</v>
      </c>
      <c r="D992">
        <f t="shared" si="30"/>
        <v>30.8</v>
      </c>
      <c r="E992" s="36">
        <f t="shared" si="31"/>
        <v>30.800000000001209</v>
      </c>
    </row>
    <row r="993" spans="1:5">
      <c r="A993">
        <v>4.09</v>
      </c>
      <c r="B993">
        <v>4</v>
      </c>
      <c r="C993">
        <v>16.36</v>
      </c>
      <c r="D993">
        <f t="shared" si="30"/>
        <v>16.36</v>
      </c>
      <c r="E993" s="36">
        <f t="shared" si="31"/>
        <v>16.360000000001229</v>
      </c>
    </row>
    <row r="994" spans="1:5">
      <c r="A994">
        <v>3.84</v>
      </c>
      <c r="B994">
        <v>3</v>
      </c>
      <c r="C994">
        <v>11.52</v>
      </c>
      <c r="D994">
        <f t="shared" si="30"/>
        <v>11.52</v>
      </c>
      <c r="E994" s="36">
        <f t="shared" si="31"/>
        <v>11.520000000001234</v>
      </c>
    </row>
  </sheetData>
  <mergeCells count="3">
    <mergeCell ref="L1:M1"/>
    <mergeCell ref="G1:H1"/>
    <mergeCell ref="G16:H1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543D5-B2E2-47DE-A03D-253D02D40A64}">
  <sheetPr codeName="Sheet4"/>
  <dimension ref="A1"/>
  <sheetViews>
    <sheetView workbookViewId="0">
      <selection activeCell="H31" sqref="H31"/>
    </sheetView>
  </sheetViews>
  <sheetFormatPr defaultRowHeight="15"/>
  <cols>
    <col min="1" max="16384" width="9.140625" style="37"/>
  </cols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A45314-E8DB-4E5A-81F4-03B85A517EA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SalesData</vt:lpstr>
      <vt:lpstr>Formulas</vt:lpstr>
      <vt:lpstr>Chi-Square test</vt:lpstr>
      <vt:lpstr>AB test</vt:lpstr>
      <vt:lpstr>VBA Output</vt:lpstr>
      <vt:lpstr>Forecasting</vt:lpstr>
      <vt:lpstr>Charts</vt:lpstr>
      <vt:lpstr>SalesData!Extract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Judit Tomy</dc:creator>
  <cp:lastModifiedBy>Judit Tomy</cp:lastModifiedBy>
  <dcterms:created xsi:type="dcterms:W3CDTF">2025-06-28T17:42:51Z</dcterms:created>
  <dcterms:modified xsi:type="dcterms:W3CDTF">2025-07-01T12:22:18Z</dcterms:modified>
</cp:coreProperties>
</file>